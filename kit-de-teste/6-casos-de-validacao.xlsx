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ções" sheetId="1" state="visible" r:id="rId1"/>
    <sheet name="Casos" sheetId="2" state="visible" r:id="rId2"/>
    <sheet name="Memória de cálculo" sheetId="3" state="visible" r:id="rId3"/>
    <sheet name="Alertas" sheetId="4" state="visible" r:id="rId4"/>
  </sheets>
  <definedNames>
    <definedName name="_xlnm._FilterDatabase" localSheetId="1" hidden="1">'Casos'!$A$1:$I$517</definedName>
    <definedName name="_xlnm._FilterDatabase" localSheetId="2" hidden="1">'Memória de cálculo'!$A$1:$E$1094</definedName>
  </definedNames>
  <calcPr calcId="124519" fullCalcOnLoad="1"/>
</workbook>
</file>

<file path=xl/styles.xml><?xml version="1.0" encoding="utf-8"?>
<styleSheet xmlns="http://schemas.openxmlformats.org/spreadsheetml/2006/main">
  <numFmts count="2">
    <numFmt numFmtId="164" formatCode="&quot;R$&quot; #,##0.00;-&quot;R$&quot; #,##0.00;&quot;-&quot;"/>
    <numFmt numFmtId="165" formatCode="0.0000%"/>
  </numFmts>
  <fonts count="5">
    <font>
      <name val="Calibri"/>
      <family val="2"/>
      <color theme="1"/>
      <sz val="11"/>
      <scheme val="minor"/>
    </font>
    <font>
      <name val="Arial"/>
      <b val="1"/>
      <color rgb="001F3A5F"/>
      <sz val="14"/>
    </font>
    <font>
      <name val="Arial"/>
    </font>
    <font>
      <name val="Arial"/>
      <b val="1"/>
    </font>
    <font>
      <name val="Arial"/>
      <b val="1"/>
      <color rgb="00FFFFFF"/>
    </font>
  </fonts>
  <fills count="5">
    <fill>
      <patternFill/>
    </fill>
    <fill>
      <patternFill patternType="gray125"/>
    </fill>
    <fill>
      <patternFill patternType="solid">
        <fgColor rgb="001F3A5F"/>
      </patternFill>
    </fill>
    <fill>
      <patternFill patternType="solid">
        <fgColor rgb="00FFF2CC"/>
      </patternFill>
    </fill>
    <fill>
      <patternFill patternType="solid">
        <fgColor rgb="00F2F2F2"/>
      </patternFill>
    </fill>
  </fills>
  <borders count="2">
    <border>
      <left/>
      <right/>
      <top/>
      <bottom/>
      <diagonal/>
    </border>
    <border>
      <bottom style="thin">
        <color rgb="00D9D9D9"/>
      </bottom>
    </border>
  </borders>
  <cellStyleXfs count="1">
    <xf numFmtId="0" fontId="0" fillId="0" borderId="0"/>
  </cellStyleXfs>
  <cellXfs count="20">
    <xf numFmtId="0" fontId="0" fillId="0" borderId="0" pivotButton="0" quotePrefix="0" xfId="0"/>
    <xf numFmtId="0" fontId="1" fillId="0" borderId="0" applyAlignment="1" pivotButton="0" quotePrefix="0" xfId="0">
      <alignment wrapText="1"/>
    </xf>
    <xf numFmtId="0" fontId="2" fillId="0" borderId="0" applyAlignment="1" pivotButton="0" quotePrefix="0" xfId="0">
      <alignment wrapText="1"/>
    </xf>
    <xf numFmtId="0" fontId="3" fillId="0" borderId="0" applyAlignment="1" pivotButton="0" quotePrefix="0" xfId="0">
      <alignment wrapText="1"/>
    </xf>
    <xf numFmtId="0" fontId="4" fillId="2" borderId="0" applyAlignment="1" pivotButton="0" quotePrefix="0" xfId="0">
      <alignment vertical="center" wrapText="1"/>
    </xf>
    <xf numFmtId="0" fontId="2" fillId="0" borderId="1" applyAlignment="1" pivotButton="0" quotePrefix="0" xfId="0">
      <alignment vertical="top"/>
    </xf>
    <xf numFmtId="0" fontId="2" fillId="0" borderId="1" applyAlignment="1" pivotButton="0" quotePrefix="0" xfId="0">
      <alignment vertical="top" wrapText="1"/>
    </xf>
    <xf numFmtId="164" fontId="2" fillId="0" borderId="1" applyAlignment="1" pivotButton="0" quotePrefix="0" xfId="0">
      <alignment vertical="top"/>
    </xf>
    <xf numFmtId="164" fontId="2" fillId="3" borderId="1" applyAlignment="1" pivotButton="0" quotePrefix="0" xfId="0">
      <alignment vertical="top"/>
    </xf>
    <xf numFmtId="0" fontId="3" fillId="0" borderId="1" applyAlignment="1" pivotButton="0" quotePrefix="0" xfId="0">
      <alignment vertical="top"/>
    </xf>
    <xf numFmtId="0" fontId="3" fillId="0" borderId="1" applyAlignment="1" pivotButton="0" quotePrefix="0" xfId="0">
      <alignment vertical="top" wrapText="1"/>
    </xf>
    <xf numFmtId="164" fontId="3" fillId="0" borderId="1" applyAlignment="1" pivotButton="0" quotePrefix="0" xfId="0">
      <alignment vertical="top"/>
    </xf>
    <xf numFmtId="164" fontId="3" fillId="3" borderId="1" applyAlignment="1" pivotButton="0" quotePrefix="0" xfId="0">
      <alignment vertical="top"/>
    </xf>
    <xf numFmtId="0" fontId="2" fillId="4" borderId="1" applyAlignment="1" pivotButton="0" quotePrefix="0" xfId="0">
      <alignment vertical="top"/>
    </xf>
    <xf numFmtId="0" fontId="2" fillId="4" borderId="1" applyAlignment="1" pivotButton="0" quotePrefix="0" xfId="0">
      <alignment vertical="top" wrapText="1"/>
    </xf>
    <xf numFmtId="164" fontId="2" fillId="4" borderId="1" applyAlignment="1" pivotButton="0" quotePrefix="0" xfId="0">
      <alignment vertical="top"/>
    </xf>
    <xf numFmtId="0" fontId="3" fillId="4" borderId="1" applyAlignment="1" pivotButton="0" quotePrefix="0" xfId="0">
      <alignment vertical="top"/>
    </xf>
    <xf numFmtId="0" fontId="3" fillId="4" borderId="1" applyAlignment="1" pivotButton="0" quotePrefix="0" xfId="0">
      <alignment vertical="top" wrapText="1"/>
    </xf>
    <xf numFmtId="164" fontId="3" fillId="4" borderId="1" applyAlignment="1" pivotButton="0" quotePrefix="0" xfId="0">
      <alignment vertical="top"/>
    </xf>
    <xf numFmtId="165"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Tolaris</author>
  </authors>
  <commentList>
    <comment ref="E1" authorId="0" shapeId="0">
      <text>
        <t>Valor calculado pelo tolaris_motor (Python). Não editar.</t>
      </text>
    </comment>
    <comment ref="F1" authorId="0" shapeId="0">
      <text>
        <t>Preencha com o valor que você apuraria para conferência.</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10" customWidth="1" min="1" max="1"/>
  </cols>
  <sheetData>
    <row r="1">
      <c r="A1" s="1" t="inlineStr">
        <is>
          <t>Tolaris — validação do motor de cálculo (Fase 0)</t>
        </is>
      </c>
    </row>
    <row r="2">
      <c r="A2" s="2" t="inlineStr">
        <is>
          <t>Gerado em 27/10/2026 com o motor tolaris_motor. 115 casos.</t>
        </is>
      </c>
    </row>
    <row r="3">
      <c r="A3" s="2" t="inlineStr"/>
    </row>
    <row r="4">
      <c r="A4" s="3" t="inlineStr">
        <is>
          <t>Como conferir:</t>
        </is>
      </c>
    </row>
    <row r="5">
      <c r="A5" s="2" t="inlineStr">
        <is>
          <t>1. Na aba 'Casos', cada linha é um tributo calculado pelo motor (coluna 'Valor do motor').</t>
        </is>
      </c>
    </row>
    <row r="6">
      <c r="A6" s="2" t="inlineStr">
        <is>
          <t>2. Preencha a coluna amarela 'Valor correto' com o valor que você apuraria.</t>
        </is>
      </c>
    </row>
    <row r="7">
      <c r="A7" s="2" t="inlineStr">
        <is>
          <t>3. A coluna 'Diferença' é calculada automaticamente; marque 'Confere?' e explique divergências em 'Observações'.</t>
        </is>
      </c>
    </row>
    <row r="8">
      <c r="A8" s="2" t="inlineStr">
        <is>
          <t>4. A aba 'Memória de cálculo' mostra cada passo, a fórmula usada e a base legal.</t>
        </is>
      </c>
    </row>
    <row r="9">
      <c r="A9" s="2" t="inlineStr">
        <is>
          <t>5. A aba 'Alertas' lista as premissas e limitações de cada caso.</t>
        </is>
      </c>
    </row>
    <row r="10">
      <c r="A10" s="2" t="inlineStr"/>
    </row>
    <row r="11">
      <c r="A11" s="3" t="inlineStr">
        <is>
          <t>Premissas gerais:</t>
        </is>
      </c>
    </row>
    <row r="12">
      <c r="A12" s="2" t="inlineStr">
        <is>
          <t>• Valores anuais com faturamento mensal constante (RBT12 = receita anual no Simples).</t>
        </is>
      </c>
    </row>
    <row r="13">
      <c r="A13" s="2" t="inlineStr">
        <is>
          <t>• Encargos CLT no Presumido/Real: CPP 20% + RAT 2% + terceiros 5,8%; pró-labore: CPP 20%. FGTS não é tributo e fica fora do total.</t>
        </is>
      </c>
    </row>
    <row r="14">
      <c r="A14" s="2" t="inlineStr">
        <is>
          <t>• ICMS não cumulativo (débito - crédito sobre compras), 18% nas vendas e nas compras, salvo indicação.</t>
        </is>
      </c>
    </row>
    <row r="15">
      <c r="A15" s="2" t="inlineStr">
        <is>
          <t>• Lucro Real: estimativa gerencial sem LALUR detalhado; todo o estoque comprado é vendido no ano.</t>
        </is>
      </c>
    </row>
    <row r="16">
      <c r="A16" s="2" t="inlineStr">
        <is>
          <t>• Reforma: alíquotas de referência estimadas CBS 8,8% e IBS 17,7% (ainda não fixadas pelo Senado).</t>
        </is>
      </c>
    </row>
    <row r="17">
      <c r="A17" s="2" t="inlineStr">
        <is>
          <t>• Simples de 2027 a 2033 (casos SR): tabelas da Resolução CGSN 190/2026, com CBS e IBS na partilha do DAS e teto de ISS decrescente.</t>
        </is>
      </c>
    </row>
    <row r="18">
      <c r="A18" s="2" t="inlineStr">
        <is>
          <t>• Enquadramento (casos ENQ): cada linha é o DAS de um caminho alternativo (hoje, pró-labore até o fator R de 28%, parte da receita no Anexo III); não se somam.</t>
        </is>
      </c>
    </row>
    <row r="19">
      <c r="A19" s="2" t="inlineStr"/>
    </row>
    <row r="20">
      <c r="A20" s="2" t="inlineStr">
        <is>
          <t>Exemplo de preenchimento: se o motor indicar R$ 28.800,00 de IRPJ e você apurar R$ 28.800,00, digite 28800 em 'Valor correto' e escolha 'Sim' em 'Confere?'.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17"/>
  <sheetViews>
    <sheetView workbookViewId="0">
      <pane ySplit="1" topLeftCell="A2" activePane="bottomLeft" state="frozen"/>
      <selection pane="bottomLeft" activeCell="A1" sqref="A1"/>
    </sheetView>
  </sheetViews>
  <sheetFormatPr baseColWidth="8" defaultRowHeight="15"/>
  <cols>
    <col width="11" customWidth="1" min="1" max="1"/>
    <col width="30" customWidth="1" min="2" max="2"/>
    <col width="70" customWidth="1" min="3" max="3"/>
    <col width="32" customWidth="1" min="4" max="4"/>
    <col width="18" customWidth="1" min="5" max="5"/>
    <col width="18" customWidth="1" min="6" max="6"/>
    <col width="16" customWidth="1" min="7" max="7"/>
    <col width="11" customWidth="1" min="8" max="8"/>
    <col width="40" customWidth="1" min="9" max="9"/>
  </cols>
  <sheetData>
    <row r="1" ht="30" customHeight="1">
      <c r="A1" s="4" t="inlineStr">
        <is>
          <t>Caso</t>
        </is>
      </c>
      <c r="B1" s="4" t="inlineStr">
        <is>
          <t>Módulo</t>
        </is>
      </c>
      <c r="C1" s="4" t="inlineStr">
        <is>
          <t>Entradas</t>
        </is>
      </c>
      <c r="D1" s="4" t="inlineStr">
        <is>
          <t>Tributo</t>
        </is>
      </c>
      <c r="E1" s="4" t="inlineStr">
        <is>
          <t>Valor do motor (R$)</t>
        </is>
      </c>
      <c r="F1" s="4" t="inlineStr">
        <is>
          <t>Valor correto (R$)</t>
        </is>
      </c>
      <c r="G1" s="4" t="inlineStr">
        <is>
          <t>Diferença (R$)</t>
        </is>
      </c>
      <c r="H1" s="4" t="inlineStr">
        <is>
          <t>Confere?</t>
        </is>
      </c>
      <c r="I1" s="4" t="inlineStr">
        <is>
          <t>Observações do contador</t>
        </is>
      </c>
    </row>
    <row r="2">
      <c r="A2" s="5" t="inlineStr">
        <is>
          <t>E1-SN</t>
        </is>
      </c>
      <c r="B2" s="5" t="inlineStr">
        <is>
          <t>Simples Nacional</t>
        </is>
      </c>
      <c r="C2" s="6" t="inlineStr">
        <is>
          <t>servico_fator_r; receita R$ 600.000,00/ano; folha CLT R$ 96.000,00; pró-labore R$ 60.000,00; ano 2026; ISS 5%</t>
        </is>
      </c>
      <c r="D2" s="5" t="inlineStr">
        <is>
          <t>DAS</t>
        </is>
      </c>
      <c r="E2" s="7" t="n">
        <v>107100</v>
      </c>
      <c r="F2" s="8" t="n"/>
      <c r="G2" s="7">
        <f>IF(F2="","",E2-F2)</f>
        <v/>
      </c>
      <c r="H2" s="5" t="n"/>
      <c r="I2" s="6" t="n"/>
    </row>
    <row r="3">
      <c r="A3" s="9" t="inlineStr">
        <is>
          <t>E1-SN</t>
        </is>
      </c>
      <c r="B3" s="9" t="inlineStr">
        <is>
          <t>Simples Nacional</t>
        </is>
      </c>
      <c r="C3" s="10" t="inlineStr">
        <is>
          <t>servico_fator_r; receita R$ 600.000,00/ano; folha CLT R$ 96.000,00; pró-labore R$ 60.000,00; ano 2026; ISS 5%</t>
        </is>
      </c>
      <c r="D3" s="9" t="inlineStr">
        <is>
          <t>TOTAL</t>
        </is>
      </c>
      <c r="E3" s="11">
        <f>SUM(E2:E2)</f>
        <v/>
      </c>
      <c r="F3" s="12" t="n"/>
      <c r="G3" s="11">
        <f>IF(F3="","",E3-F3)</f>
        <v/>
      </c>
      <c r="H3" s="9" t="n"/>
      <c r="I3" s="10" t="n"/>
    </row>
    <row r="4">
      <c r="A4" s="13" t="inlineStr">
        <is>
          <t>E1-LP</t>
        </is>
      </c>
      <c r="B4" s="13" t="inlineStr">
        <is>
          <t>Lucro Presumido</t>
        </is>
      </c>
      <c r="C4" s="14" t="inlineStr">
        <is>
          <t>servico_fator_r; receita R$ 600.000,00/ano; folha CLT R$ 96.000,00; pró-labore R$ 60.000,00; ano 2026; ISS 5%</t>
        </is>
      </c>
      <c r="D4" s="13" t="inlineStr">
        <is>
          <t>IRPJ</t>
        </is>
      </c>
      <c r="E4" s="15" t="n">
        <v>28800</v>
      </c>
      <c r="F4" s="8" t="n"/>
      <c r="G4" s="15">
        <f>IF(F4="","",E4-F4)</f>
        <v/>
      </c>
      <c r="H4" s="13" t="n"/>
      <c r="I4" s="14" t="n"/>
    </row>
    <row r="5">
      <c r="A5" s="13" t="inlineStr">
        <is>
          <t>E1-LP</t>
        </is>
      </c>
      <c r="B5" s="13" t="inlineStr">
        <is>
          <t>Lucro Presumido</t>
        </is>
      </c>
      <c r="C5" s="14" t="inlineStr">
        <is>
          <t>servico_fator_r; receita R$ 600.000,00/ano; folha CLT R$ 96.000,00; pró-labore R$ 60.000,00; ano 2026; ISS 5%</t>
        </is>
      </c>
      <c r="D5" s="13" t="inlineStr">
        <is>
          <t>CSLL</t>
        </is>
      </c>
      <c r="E5" s="15" t="n">
        <v>17280</v>
      </c>
      <c r="F5" s="8" t="n"/>
      <c r="G5" s="15">
        <f>IF(F5="","",E5-F5)</f>
        <v/>
      </c>
      <c r="H5" s="13" t="n"/>
      <c r="I5" s="14" t="n"/>
    </row>
    <row r="6">
      <c r="A6" s="13" t="inlineStr">
        <is>
          <t>E1-LP</t>
        </is>
      </c>
      <c r="B6" s="13" t="inlineStr">
        <is>
          <t>Lucro Presumido</t>
        </is>
      </c>
      <c r="C6" s="14" t="inlineStr">
        <is>
          <t>servico_fator_r; receita R$ 600.000,00/ano; folha CLT R$ 96.000,00; pró-labore R$ 60.000,00; ano 2026; ISS 5%</t>
        </is>
      </c>
      <c r="D6" s="13" t="inlineStr">
        <is>
          <t>PIS</t>
        </is>
      </c>
      <c r="E6" s="15" t="n">
        <v>3900</v>
      </c>
      <c r="F6" s="8" t="n"/>
      <c r="G6" s="15">
        <f>IF(F6="","",E6-F6)</f>
        <v/>
      </c>
      <c r="H6" s="13" t="n"/>
      <c r="I6" s="14" t="n"/>
    </row>
    <row r="7">
      <c r="A7" s="13" t="inlineStr">
        <is>
          <t>E1-LP</t>
        </is>
      </c>
      <c r="B7" s="13" t="inlineStr">
        <is>
          <t>Lucro Presumido</t>
        </is>
      </c>
      <c r="C7" s="14" t="inlineStr">
        <is>
          <t>servico_fator_r; receita R$ 600.000,00/ano; folha CLT R$ 96.000,00; pró-labore R$ 60.000,00; ano 2026; ISS 5%</t>
        </is>
      </c>
      <c r="D7" s="13" t="inlineStr">
        <is>
          <t>Cofins</t>
        </is>
      </c>
      <c r="E7" s="15" t="n">
        <v>18000</v>
      </c>
      <c r="F7" s="8" t="n"/>
      <c r="G7" s="15">
        <f>IF(F7="","",E7-F7)</f>
        <v/>
      </c>
      <c r="H7" s="13" t="n"/>
      <c r="I7" s="14" t="n"/>
    </row>
    <row r="8">
      <c r="A8" s="13" t="inlineStr">
        <is>
          <t>E1-LP</t>
        </is>
      </c>
      <c r="B8" s="13" t="inlineStr">
        <is>
          <t>Lucro Presumido</t>
        </is>
      </c>
      <c r="C8" s="14" t="inlineStr">
        <is>
          <t>servico_fator_r; receita R$ 600.000,00/ano; folha CLT R$ 96.000,00; pró-labore R$ 60.000,00; ano 2026; ISS 5%</t>
        </is>
      </c>
      <c r="D8" s="13" t="inlineStr">
        <is>
          <t>ISS</t>
        </is>
      </c>
      <c r="E8" s="15" t="n">
        <v>30000</v>
      </c>
      <c r="F8" s="8" t="n"/>
      <c r="G8" s="15">
        <f>IF(F8="","",E8-F8)</f>
        <v/>
      </c>
      <c r="H8" s="13" t="n"/>
      <c r="I8" s="14" t="n"/>
    </row>
    <row r="9">
      <c r="A9" s="13" t="inlineStr">
        <is>
          <t>E1-LP</t>
        </is>
      </c>
      <c r="B9" s="13" t="inlineStr">
        <is>
          <t>Lucro Presumido</t>
        </is>
      </c>
      <c r="C9" s="14" t="inlineStr">
        <is>
          <t>servico_fator_r; receita R$ 600.000,00/ano; folha CLT R$ 96.000,00; pró-labore R$ 60.000,00; ano 2026; ISS 5%</t>
        </is>
      </c>
      <c r="D9" s="13" t="inlineStr">
        <is>
          <t>INSS patronal</t>
        </is>
      </c>
      <c r="E9" s="15" t="n">
        <v>38688</v>
      </c>
      <c r="F9" s="8" t="n"/>
      <c r="G9" s="15">
        <f>IF(F9="","",E9-F9)</f>
        <v/>
      </c>
      <c r="H9" s="13" t="n"/>
      <c r="I9" s="14" t="n"/>
    </row>
    <row r="10">
      <c r="A10" s="16" t="inlineStr">
        <is>
          <t>E1-LP</t>
        </is>
      </c>
      <c r="B10" s="16" t="inlineStr">
        <is>
          <t>Lucro Presumido</t>
        </is>
      </c>
      <c r="C10" s="17" t="inlineStr">
        <is>
          <t>servico_fator_r; receita R$ 600.000,00/ano; folha CLT R$ 96.000,00; pró-labore R$ 60.000,00; ano 2026; ISS 5%</t>
        </is>
      </c>
      <c r="D10" s="16" t="inlineStr">
        <is>
          <t>TOTAL</t>
        </is>
      </c>
      <c r="E10" s="18">
        <f>SUM(E4:E9)</f>
        <v/>
      </c>
      <c r="F10" s="12" t="n"/>
      <c r="G10" s="18">
        <f>IF(F10="","",E10-F10)</f>
        <v/>
      </c>
      <c r="H10" s="16" t="n"/>
      <c r="I10" s="17" t="n"/>
    </row>
    <row r="11">
      <c r="A11" s="5" t="inlineStr">
        <is>
          <t>E1-LR</t>
        </is>
      </c>
      <c r="B11" s="5" t="inlineStr">
        <is>
          <t>Lucro Real</t>
        </is>
      </c>
      <c r="C11" s="6" t="inlineStr">
        <is>
          <t>servico_fator_r; receita R$ 600.000,00/ano; folha CLT R$ 96.000,00; pró-labore R$ 60.000,00; ano 2026; ISS 5%</t>
        </is>
      </c>
      <c r="D11" s="5" t="inlineStr">
        <is>
          <t>PIS</t>
        </is>
      </c>
      <c r="E11" s="7" t="n">
        <v>9900</v>
      </c>
      <c r="F11" s="8" t="n"/>
      <c r="G11" s="7">
        <f>IF(F11="","",E11-F11)</f>
        <v/>
      </c>
      <c r="H11" s="5" t="n"/>
      <c r="I11" s="6" t="n"/>
    </row>
    <row r="12">
      <c r="A12" s="5" t="inlineStr">
        <is>
          <t>E1-LR</t>
        </is>
      </c>
      <c r="B12" s="5" t="inlineStr">
        <is>
          <t>Lucro Real</t>
        </is>
      </c>
      <c r="C12" s="6" t="inlineStr">
        <is>
          <t>servico_fator_r; receita R$ 600.000,00/ano; folha CLT R$ 96.000,00; pró-labore R$ 60.000,00; ano 2026; ISS 5%</t>
        </is>
      </c>
      <c r="D12" s="5" t="inlineStr">
        <is>
          <t>Cofins</t>
        </is>
      </c>
      <c r="E12" s="7" t="n">
        <v>45600</v>
      </c>
      <c r="F12" s="8" t="n"/>
      <c r="G12" s="7">
        <f>IF(F12="","",E12-F12)</f>
        <v/>
      </c>
      <c r="H12" s="5" t="n"/>
      <c r="I12" s="6" t="n"/>
    </row>
    <row r="13">
      <c r="A13" s="5" t="inlineStr">
        <is>
          <t>E1-LR</t>
        </is>
      </c>
      <c r="B13" s="5" t="inlineStr">
        <is>
          <t>Lucro Real</t>
        </is>
      </c>
      <c r="C13" s="6" t="inlineStr">
        <is>
          <t>servico_fator_r; receita R$ 600.000,00/ano; folha CLT R$ 96.000,00; pró-labore R$ 60.000,00; ano 2026; ISS 5%</t>
        </is>
      </c>
      <c r="D13" s="5" t="inlineStr">
        <is>
          <t>ISS</t>
        </is>
      </c>
      <c r="E13" s="7" t="n">
        <v>30000</v>
      </c>
      <c r="F13" s="8" t="n"/>
      <c r="G13" s="7">
        <f>IF(F13="","",E13-F13)</f>
        <v/>
      </c>
      <c r="H13" s="5" t="n"/>
      <c r="I13" s="6" t="n"/>
    </row>
    <row r="14">
      <c r="A14" s="5" t="inlineStr">
        <is>
          <t>E1-LR</t>
        </is>
      </c>
      <c r="B14" s="5" t="inlineStr">
        <is>
          <t>Lucro Real</t>
        </is>
      </c>
      <c r="C14" s="6" t="inlineStr">
        <is>
          <t>servico_fator_r; receita R$ 600.000,00/ano; folha CLT R$ 96.000,00; pró-labore R$ 60.000,00; ano 2026; ISS 5%</t>
        </is>
      </c>
      <c r="D14" s="5" t="inlineStr">
        <is>
          <t>INSS patronal</t>
        </is>
      </c>
      <c r="E14" s="7" t="n">
        <v>38688</v>
      </c>
      <c r="F14" s="8" t="n"/>
      <c r="G14" s="7">
        <f>IF(F14="","",E14-F14)</f>
        <v/>
      </c>
      <c r="H14" s="5" t="n"/>
      <c r="I14" s="6" t="n"/>
    </row>
    <row r="15">
      <c r="A15" s="5" t="inlineStr">
        <is>
          <t>E1-LR</t>
        </is>
      </c>
      <c r="B15" s="5" t="inlineStr">
        <is>
          <t>Lucro Real</t>
        </is>
      </c>
      <c r="C15" s="6" t="inlineStr">
        <is>
          <t>servico_fator_r; receita R$ 600.000,00/ano; folha CLT R$ 96.000,00; pró-labore R$ 60.000,00; ano 2026; ISS 5%</t>
        </is>
      </c>
      <c r="D15" s="5" t="inlineStr">
        <is>
          <t>IRPJ</t>
        </is>
      </c>
      <c r="E15" s="7" t="n">
        <v>54033</v>
      </c>
      <c r="F15" s="8" t="n"/>
      <c r="G15" s="7">
        <f>IF(F15="","",E15-F15)</f>
        <v/>
      </c>
      <c r="H15" s="5" t="n"/>
      <c r="I15" s="6" t="n"/>
    </row>
    <row r="16">
      <c r="A16" s="5" t="inlineStr">
        <is>
          <t>E1-LR</t>
        </is>
      </c>
      <c r="B16" s="5" t="inlineStr">
        <is>
          <t>Lucro Real</t>
        </is>
      </c>
      <c r="C16" s="6" t="inlineStr">
        <is>
          <t>servico_fator_r; receita R$ 600.000,00/ano; folha CLT R$ 96.000,00; pró-labore R$ 60.000,00; ano 2026; ISS 5%</t>
        </is>
      </c>
      <c r="D16" s="5" t="inlineStr">
        <is>
          <t>CSLL</t>
        </is>
      </c>
      <c r="E16" s="7" t="n">
        <v>28091.88</v>
      </c>
      <c r="F16" s="8" t="n"/>
      <c r="G16" s="7">
        <f>IF(F16="","",E16-F16)</f>
        <v/>
      </c>
      <c r="H16" s="5" t="n"/>
      <c r="I16" s="6" t="n"/>
    </row>
    <row r="17">
      <c r="A17" s="9" t="inlineStr">
        <is>
          <t>E1-LR</t>
        </is>
      </c>
      <c r="B17" s="9" t="inlineStr">
        <is>
          <t>Lucro Real</t>
        </is>
      </c>
      <c r="C17" s="10" t="inlineStr">
        <is>
          <t>servico_fator_r; receita R$ 600.000,00/ano; folha CLT R$ 96.000,00; pró-labore R$ 60.000,00; ano 2026; ISS 5%</t>
        </is>
      </c>
      <c r="D17" s="9" t="inlineStr">
        <is>
          <t>TOTAL</t>
        </is>
      </c>
      <c r="E17" s="11">
        <f>SUM(E11:E16)</f>
        <v/>
      </c>
      <c r="F17" s="12" t="n"/>
      <c r="G17" s="11">
        <f>IF(F17="","",E17-F17)</f>
        <v/>
      </c>
      <c r="H17" s="9" t="n"/>
      <c r="I17" s="10" t="n"/>
    </row>
    <row r="18">
      <c r="A18" s="13" t="inlineStr">
        <is>
          <t>E2-SN</t>
        </is>
      </c>
      <c r="B18" s="13" t="inlineStr">
        <is>
          <t>Simples Nacional</t>
        </is>
      </c>
      <c r="C18" s="14" t="inlineStr">
        <is>
          <t>servico_fator_r; receita R$ 600.000,00/ano; folha CLT R$ 96.000,00; pró-labore R$ 72.000,00; ano 2026; ISS 5%</t>
        </is>
      </c>
      <c r="D18" s="13" t="inlineStr">
        <is>
          <t>DAS</t>
        </is>
      </c>
      <c r="E18" s="15" t="n">
        <v>63360</v>
      </c>
      <c r="F18" s="8" t="n"/>
      <c r="G18" s="15">
        <f>IF(F18="","",E18-F18)</f>
        <v/>
      </c>
      <c r="H18" s="13" t="n"/>
      <c r="I18" s="14" t="n"/>
    </row>
    <row r="19">
      <c r="A19" s="16" t="inlineStr">
        <is>
          <t>E2-SN</t>
        </is>
      </c>
      <c r="B19" s="16" t="inlineStr">
        <is>
          <t>Simples Nacional</t>
        </is>
      </c>
      <c r="C19" s="17" t="inlineStr">
        <is>
          <t>servico_fator_r; receita R$ 600.000,00/ano; folha CLT R$ 96.000,00; pró-labore R$ 72.000,00; ano 2026; ISS 5%</t>
        </is>
      </c>
      <c r="D19" s="16" t="inlineStr">
        <is>
          <t>TOTAL</t>
        </is>
      </c>
      <c r="E19" s="18">
        <f>SUM(E18:E18)</f>
        <v/>
      </c>
      <c r="F19" s="12" t="n"/>
      <c r="G19" s="18">
        <f>IF(F19="","",E19-F19)</f>
        <v/>
      </c>
      <c r="H19" s="16" t="n"/>
      <c r="I19" s="17" t="n"/>
    </row>
    <row r="20">
      <c r="A20" s="5" t="inlineStr">
        <is>
          <t>E2-LP</t>
        </is>
      </c>
      <c r="B20" s="5" t="inlineStr">
        <is>
          <t>Lucro Presumido</t>
        </is>
      </c>
      <c r="C20" s="6" t="inlineStr">
        <is>
          <t>servico_fator_r; receita R$ 600.000,00/ano; folha CLT R$ 96.000,00; pró-labore R$ 72.000,00; ano 2026; ISS 5%</t>
        </is>
      </c>
      <c r="D20" s="5" t="inlineStr">
        <is>
          <t>IRPJ</t>
        </is>
      </c>
      <c r="E20" s="7" t="n">
        <v>28800</v>
      </c>
      <c r="F20" s="8" t="n"/>
      <c r="G20" s="7">
        <f>IF(F20="","",E20-F20)</f>
        <v/>
      </c>
      <c r="H20" s="5" t="n"/>
      <c r="I20" s="6" t="n"/>
    </row>
    <row r="21">
      <c r="A21" s="5" t="inlineStr">
        <is>
          <t>E2-LP</t>
        </is>
      </c>
      <c r="B21" s="5" t="inlineStr">
        <is>
          <t>Lucro Presumido</t>
        </is>
      </c>
      <c r="C21" s="6" t="inlineStr">
        <is>
          <t>servico_fator_r; receita R$ 600.000,00/ano; folha CLT R$ 96.000,00; pró-labore R$ 72.000,00; ano 2026; ISS 5%</t>
        </is>
      </c>
      <c r="D21" s="5" t="inlineStr">
        <is>
          <t>CSLL</t>
        </is>
      </c>
      <c r="E21" s="7" t="n">
        <v>17280</v>
      </c>
      <c r="F21" s="8" t="n"/>
      <c r="G21" s="7">
        <f>IF(F21="","",E21-F21)</f>
        <v/>
      </c>
      <c r="H21" s="5" t="n"/>
      <c r="I21" s="6" t="n"/>
    </row>
    <row r="22">
      <c r="A22" s="5" t="inlineStr">
        <is>
          <t>E2-LP</t>
        </is>
      </c>
      <c r="B22" s="5" t="inlineStr">
        <is>
          <t>Lucro Presumido</t>
        </is>
      </c>
      <c r="C22" s="6" t="inlineStr">
        <is>
          <t>servico_fator_r; receita R$ 600.000,00/ano; folha CLT R$ 96.000,00; pró-labore R$ 72.000,00; ano 2026; ISS 5%</t>
        </is>
      </c>
      <c r="D22" s="5" t="inlineStr">
        <is>
          <t>PIS</t>
        </is>
      </c>
      <c r="E22" s="7" t="n">
        <v>3900</v>
      </c>
      <c r="F22" s="8" t="n"/>
      <c r="G22" s="7">
        <f>IF(F22="","",E22-F22)</f>
        <v/>
      </c>
      <c r="H22" s="5" t="n"/>
      <c r="I22" s="6" t="n"/>
    </row>
    <row r="23">
      <c r="A23" s="5" t="inlineStr">
        <is>
          <t>E2-LP</t>
        </is>
      </c>
      <c r="B23" s="5" t="inlineStr">
        <is>
          <t>Lucro Presumido</t>
        </is>
      </c>
      <c r="C23" s="6" t="inlineStr">
        <is>
          <t>servico_fator_r; receita R$ 600.000,00/ano; folha CLT R$ 96.000,00; pró-labore R$ 72.000,00; ano 2026; ISS 5%</t>
        </is>
      </c>
      <c r="D23" s="5" t="inlineStr">
        <is>
          <t>Cofins</t>
        </is>
      </c>
      <c r="E23" s="7" t="n">
        <v>18000</v>
      </c>
      <c r="F23" s="8" t="n"/>
      <c r="G23" s="7">
        <f>IF(F23="","",E23-F23)</f>
        <v/>
      </c>
      <c r="H23" s="5" t="n"/>
      <c r="I23" s="6" t="n"/>
    </row>
    <row r="24">
      <c r="A24" s="5" t="inlineStr">
        <is>
          <t>E2-LP</t>
        </is>
      </c>
      <c r="B24" s="5" t="inlineStr">
        <is>
          <t>Lucro Presumido</t>
        </is>
      </c>
      <c r="C24" s="6" t="inlineStr">
        <is>
          <t>servico_fator_r; receita R$ 600.000,00/ano; folha CLT R$ 96.000,00; pró-labore R$ 72.000,00; ano 2026; ISS 5%</t>
        </is>
      </c>
      <c r="D24" s="5" t="inlineStr">
        <is>
          <t>ISS</t>
        </is>
      </c>
      <c r="E24" s="7" t="n">
        <v>30000</v>
      </c>
      <c r="F24" s="8" t="n"/>
      <c r="G24" s="7">
        <f>IF(F24="","",E24-F24)</f>
        <v/>
      </c>
      <c r="H24" s="5" t="n"/>
      <c r="I24" s="6" t="n"/>
    </row>
    <row r="25">
      <c r="A25" s="5" t="inlineStr">
        <is>
          <t>E2-LP</t>
        </is>
      </c>
      <c r="B25" s="5" t="inlineStr">
        <is>
          <t>Lucro Presumido</t>
        </is>
      </c>
      <c r="C25" s="6" t="inlineStr">
        <is>
          <t>servico_fator_r; receita R$ 600.000,00/ano; folha CLT R$ 96.000,00; pró-labore R$ 72.000,00; ano 2026; ISS 5%</t>
        </is>
      </c>
      <c r="D25" s="5" t="inlineStr">
        <is>
          <t>INSS patronal</t>
        </is>
      </c>
      <c r="E25" s="7" t="n">
        <v>41088</v>
      </c>
      <c r="F25" s="8" t="n"/>
      <c r="G25" s="7">
        <f>IF(F25="","",E25-F25)</f>
        <v/>
      </c>
      <c r="H25" s="5" t="n"/>
      <c r="I25" s="6" t="n"/>
    </row>
    <row r="26">
      <c r="A26" s="9" t="inlineStr">
        <is>
          <t>E2-LP</t>
        </is>
      </c>
      <c r="B26" s="9" t="inlineStr">
        <is>
          <t>Lucro Presumido</t>
        </is>
      </c>
      <c r="C26" s="10" t="inlineStr">
        <is>
          <t>servico_fator_r; receita R$ 600.000,00/ano; folha CLT R$ 96.000,00; pró-labore R$ 72.000,00; ano 2026; ISS 5%</t>
        </is>
      </c>
      <c r="D26" s="9" t="inlineStr">
        <is>
          <t>TOTAL</t>
        </is>
      </c>
      <c r="E26" s="11">
        <f>SUM(E20:E25)</f>
        <v/>
      </c>
      <c r="F26" s="12" t="n"/>
      <c r="G26" s="11">
        <f>IF(F26="","",E26-F26)</f>
        <v/>
      </c>
      <c r="H26" s="9" t="n"/>
      <c r="I26" s="10" t="n"/>
    </row>
    <row r="27">
      <c r="A27" s="13" t="inlineStr">
        <is>
          <t>E2-LR</t>
        </is>
      </c>
      <c r="B27" s="13" t="inlineStr">
        <is>
          <t>Lucro Real</t>
        </is>
      </c>
      <c r="C27" s="14" t="inlineStr">
        <is>
          <t>servico_fator_r; receita R$ 600.000,00/ano; folha CLT R$ 96.000,00; pró-labore R$ 72.000,00; ano 2026; ISS 5%</t>
        </is>
      </c>
      <c r="D27" s="13" t="inlineStr">
        <is>
          <t>PIS</t>
        </is>
      </c>
      <c r="E27" s="15" t="n">
        <v>9900</v>
      </c>
      <c r="F27" s="8" t="n"/>
      <c r="G27" s="15">
        <f>IF(F27="","",E27-F27)</f>
        <v/>
      </c>
      <c r="H27" s="13" t="n"/>
      <c r="I27" s="14" t="n"/>
    </row>
    <row r="28">
      <c r="A28" s="13" t="inlineStr">
        <is>
          <t>E2-LR</t>
        </is>
      </c>
      <c r="B28" s="13" t="inlineStr">
        <is>
          <t>Lucro Real</t>
        </is>
      </c>
      <c r="C28" s="14" t="inlineStr">
        <is>
          <t>servico_fator_r; receita R$ 600.000,00/ano; folha CLT R$ 96.000,00; pró-labore R$ 72.000,00; ano 2026; ISS 5%</t>
        </is>
      </c>
      <c r="D28" s="13" t="inlineStr">
        <is>
          <t>Cofins</t>
        </is>
      </c>
      <c r="E28" s="15" t="n">
        <v>45600</v>
      </c>
      <c r="F28" s="8" t="n"/>
      <c r="G28" s="15">
        <f>IF(F28="","",E28-F28)</f>
        <v/>
      </c>
      <c r="H28" s="13" t="n"/>
      <c r="I28" s="14" t="n"/>
    </row>
    <row r="29">
      <c r="A29" s="13" t="inlineStr">
        <is>
          <t>E2-LR</t>
        </is>
      </c>
      <c r="B29" s="13" t="inlineStr">
        <is>
          <t>Lucro Real</t>
        </is>
      </c>
      <c r="C29" s="14" t="inlineStr">
        <is>
          <t>servico_fator_r; receita R$ 600.000,00/ano; folha CLT R$ 96.000,00; pró-labore R$ 72.000,00; ano 2026; ISS 5%</t>
        </is>
      </c>
      <c r="D29" s="13" t="inlineStr">
        <is>
          <t>ISS</t>
        </is>
      </c>
      <c r="E29" s="15" t="n">
        <v>30000</v>
      </c>
      <c r="F29" s="8" t="n"/>
      <c r="G29" s="15">
        <f>IF(F29="","",E29-F29)</f>
        <v/>
      </c>
      <c r="H29" s="13" t="n"/>
      <c r="I29" s="14" t="n"/>
    </row>
    <row r="30">
      <c r="A30" s="13" t="inlineStr">
        <is>
          <t>E2-LR</t>
        </is>
      </c>
      <c r="B30" s="13" t="inlineStr">
        <is>
          <t>Lucro Real</t>
        </is>
      </c>
      <c r="C30" s="14" t="inlineStr">
        <is>
          <t>servico_fator_r; receita R$ 600.000,00/ano; folha CLT R$ 96.000,00; pró-labore R$ 72.000,00; ano 2026; ISS 5%</t>
        </is>
      </c>
      <c r="D30" s="13" t="inlineStr">
        <is>
          <t>INSS patronal</t>
        </is>
      </c>
      <c r="E30" s="15" t="n">
        <v>41088</v>
      </c>
      <c r="F30" s="8" t="n"/>
      <c r="G30" s="15">
        <f>IF(F30="","",E30-F30)</f>
        <v/>
      </c>
      <c r="H30" s="13" t="n"/>
      <c r="I30" s="14" t="n"/>
    </row>
    <row r="31">
      <c r="A31" s="13" t="inlineStr">
        <is>
          <t>E2-LR</t>
        </is>
      </c>
      <c r="B31" s="13" t="inlineStr">
        <is>
          <t>Lucro Real</t>
        </is>
      </c>
      <c r="C31" s="14" t="inlineStr">
        <is>
          <t>servico_fator_r; receita R$ 600.000,00/ano; folha CLT R$ 96.000,00; pró-labore R$ 72.000,00; ano 2026; ISS 5%</t>
        </is>
      </c>
      <c r="D31" s="13" t="inlineStr">
        <is>
          <t>IRPJ</t>
        </is>
      </c>
      <c r="E31" s="15" t="n">
        <v>50433</v>
      </c>
      <c r="F31" s="8" t="n"/>
      <c r="G31" s="15">
        <f>IF(F31="","",E31-F31)</f>
        <v/>
      </c>
      <c r="H31" s="13" t="n"/>
      <c r="I31" s="14" t="n"/>
    </row>
    <row r="32">
      <c r="A32" s="13" t="inlineStr">
        <is>
          <t>E2-LR</t>
        </is>
      </c>
      <c r="B32" s="13" t="inlineStr">
        <is>
          <t>Lucro Real</t>
        </is>
      </c>
      <c r="C32" s="14" t="inlineStr">
        <is>
          <t>servico_fator_r; receita R$ 600.000,00/ano; folha CLT R$ 96.000,00; pró-labore R$ 72.000,00; ano 2026; ISS 5%</t>
        </is>
      </c>
      <c r="D32" s="13" t="inlineStr">
        <is>
          <t>CSLL</t>
        </is>
      </c>
      <c r="E32" s="15" t="n">
        <v>26795.88</v>
      </c>
      <c r="F32" s="8" t="n"/>
      <c r="G32" s="15">
        <f>IF(F32="","",E32-F32)</f>
        <v/>
      </c>
      <c r="H32" s="13" t="n"/>
      <c r="I32" s="14" t="n"/>
    </row>
    <row r="33">
      <c r="A33" s="16" t="inlineStr">
        <is>
          <t>E2-LR</t>
        </is>
      </c>
      <c r="B33" s="16" t="inlineStr">
        <is>
          <t>Lucro Real</t>
        </is>
      </c>
      <c r="C33" s="17" t="inlineStr">
        <is>
          <t>servico_fator_r; receita R$ 600.000,00/ano; folha CLT R$ 96.000,00; pró-labore R$ 72.000,00; ano 2026; ISS 5%</t>
        </is>
      </c>
      <c r="D33" s="16" t="inlineStr">
        <is>
          <t>TOTAL</t>
        </is>
      </c>
      <c r="E33" s="18">
        <f>SUM(E27:E32)</f>
        <v/>
      </c>
      <c r="F33" s="12" t="n"/>
      <c r="G33" s="18">
        <f>IF(F33="","",E33-F33)</f>
        <v/>
      </c>
      <c r="H33" s="16" t="n"/>
      <c r="I33" s="17" t="n"/>
    </row>
    <row r="34">
      <c r="A34" s="5" t="inlineStr">
        <is>
          <t>E3-SN</t>
        </is>
      </c>
      <c r="B34" s="5" t="inlineStr">
        <is>
          <t>Simples Nacional</t>
        </is>
      </c>
      <c r="C34" s="6" t="inlineStr">
        <is>
          <t>comercio; receita R$ 2.000.000,00/ano; folha CLT R$ 240.000,00; pró-labore R$ 36.000,00; compras R$ 1.200.000,00; desp. creditáveis R$ 80.000,00; outras desp. R$ 150.000,00; ano 2026; ICMS 18%</t>
        </is>
      </c>
      <c r="D34" s="5" t="inlineStr">
        <is>
          <t>DAS</t>
        </is>
      </c>
      <c r="E34" s="7" t="n">
        <v>198700</v>
      </c>
      <c r="F34" s="8" t="n"/>
      <c r="G34" s="7">
        <f>IF(F34="","",E34-F34)</f>
        <v/>
      </c>
      <c r="H34" s="5" t="n"/>
      <c r="I34" s="6" t="n"/>
    </row>
    <row r="35">
      <c r="A35" s="9" t="inlineStr">
        <is>
          <t>E3-SN</t>
        </is>
      </c>
      <c r="B35" s="9" t="inlineStr">
        <is>
          <t>Simples Nacional</t>
        </is>
      </c>
      <c r="C35" s="10" t="inlineStr">
        <is>
          <t>comercio; receita R$ 2.000.000,00/ano; folha CLT R$ 240.000,00; pró-labore R$ 36.000,00; compras R$ 1.200.000,00; desp. creditáveis R$ 80.000,00; outras desp. R$ 150.000,00; ano 2026; ICMS 18%</t>
        </is>
      </c>
      <c r="D35" s="9" t="inlineStr">
        <is>
          <t>TOTAL</t>
        </is>
      </c>
      <c r="E35" s="11">
        <f>SUM(E34:E34)</f>
        <v/>
      </c>
      <c r="F35" s="12" t="n"/>
      <c r="G35" s="11">
        <f>IF(F35="","",E35-F35)</f>
        <v/>
      </c>
      <c r="H35" s="9" t="n"/>
      <c r="I35" s="10" t="n"/>
    </row>
    <row r="36">
      <c r="A36" s="13" t="inlineStr">
        <is>
          <t>E3-LP</t>
        </is>
      </c>
      <c r="B36" s="13" t="inlineStr">
        <is>
          <t>Lucro Presumido</t>
        </is>
      </c>
      <c r="C36" s="14" t="inlineStr">
        <is>
          <t>comercio; receita R$ 2.000.000,00/ano; folha CLT R$ 240.000,00; pró-labore R$ 36.000,00; compras R$ 1.200.000,00; desp. creditáveis R$ 80.000,00; outras desp. R$ 150.000,00; ano 2026; ICMS 18%</t>
        </is>
      </c>
      <c r="D36" s="13" t="inlineStr">
        <is>
          <t>IRPJ</t>
        </is>
      </c>
      <c r="E36" s="15" t="n">
        <v>24000</v>
      </c>
      <c r="F36" s="8" t="n"/>
      <c r="G36" s="15">
        <f>IF(F36="","",E36-F36)</f>
        <v/>
      </c>
      <c r="H36" s="13" t="n"/>
      <c r="I36" s="14" t="n"/>
    </row>
    <row r="37">
      <c r="A37" s="13" t="inlineStr">
        <is>
          <t>E3-LP</t>
        </is>
      </c>
      <c r="B37" s="13" t="inlineStr">
        <is>
          <t>Lucro Presumido</t>
        </is>
      </c>
      <c r="C37" s="14" t="inlineStr">
        <is>
          <t>comercio; receita R$ 2.000.000,00/ano; folha CLT R$ 240.000,00; pró-labore R$ 36.000,00; compras R$ 1.200.000,00; desp. creditáveis R$ 80.000,00; outras desp. R$ 150.000,00; ano 2026; ICMS 18%</t>
        </is>
      </c>
      <c r="D37" s="13" t="inlineStr">
        <is>
          <t>CSLL</t>
        </is>
      </c>
      <c r="E37" s="15" t="n">
        <v>21600</v>
      </c>
      <c r="F37" s="8" t="n"/>
      <c r="G37" s="15">
        <f>IF(F37="","",E37-F37)</f>
        <v/>
      </c>
      <c r="H37" s="13" t="n"/>
      <c r="I37" s="14" t="n"/>
    </row>
    <row r="38">
      <c r="A38" s="13" t="inlineStr">
        <is>
          <t>E3-LP</t>
        </is>
      </c>
      <c r="B38" s="13" t="inlineStr">
        <is>
          <t>Lucro Presumido</t>
        </is>
      </c>
      <c r="C38" s="14" t="inlineStr">
        <is>
          <t>comercio; receita R$ 2.000.000,00/ano; folha CLT R$ 240.000,00; pró-labore R$ 36.000,00; compras R$ 1.200.000,00; desp. creditáveis R$ 80.000,00; outras desp. R$ 150.000,00; ano 2026; ICMS 18%</t>
        </is>
      </c>
      <c r="D38" s="13" t="inlineStr">
        <is>
          <t>PIS</t>
        </is>
      </c>
      <c r="E38" s="15" t="n">
        <v>13000</v>
      </c>
      <c r="F38" s="8" t="n"/>
      <c r="G38" s="15">
        <f>IF(F38="","",E38-F38)</f>
        <v/>
      </c>
      <c r="H38" s="13" t="n"/>
      <c r="I38" s="14" t="n"/>
    </row>
    <row r="39">
      <c r="A39" s="13" t="inlineStr">
        <is>
          <t>E3-LP</t>
        </is>
      </c>
      <c r="B39" s="13" t="inlineStr">
        <is>
          <t>Lucro Presumido</t>
        </is>
      </c>
      <c r="C39" s="14" t="inlineStr">
        <is>
          <t>comercio; receita R$ 2.000.000,00/ano; folha CLT R$ 240.000,00; pró-labore R$ 36.000,00; compras R$ 1.200.000,00; desp. creditáveis R$ 80.000,00; outras desp. R$ 150.000,00; ano 2026; ICMS 18%</t>
        </is>
      </c>
      <c r="D39" s="13" t="inlineStr">
        <is>
          <t>Cofins</t>
        </is>
      </c>
      <c r="E39" s="15" t="n">
        <v>60000</v>
      </c>
      <c r="F39" s="8" t="n"/>
      <c r="G39" s="15">
        <f>IF(F39="","",E39-F39)</f>
        <v/>
      </c>
      <c r="H39" s="13" t="n"/>
      <c r="I39" s="14" t="n"/>
    </row>
    <row r="40">
      <c r="A40" s="13" t="inlineStr">
        <is>
          <t>E3-LP</t>
        </is>
      </c>
      <c r="B40" s="13" t="inlineStr">
        <is>
          <t>Lucro Presumido</t>
        </is>
      </c>
      <c r="C40" s="14" t="inlineStr">
        <is>
          <t>comercio; receita R$ 2.000.000,00/ano; folha CLT R$ 240.000,00; pró-labore R$ 36.000,00; compras R$ 1.200.000,00; desp. creditáveis R$ 80.000,00; outras desp. R$ 150.000,00; ano 2026; ICMS 18%</t>
        </is>
      </c>
      <c r="D40" s="13" t="inlineStr">
        <is>
          <t>ICMS</t>
        </is>
      </c>
      <c r="E40" s="15" t="n">
        <v>144000</v>
      </c>
      <c r="F40" s="8" t="n"/>
      <c r="G40" s="15">
        <f>IF(F40="","",E40-F40)</f>
        <v/>
      </c>
      <c r="H40" s="13" t="n"/>
      <c r="I40" s="14" t="n"/>
    </row>
    <row r="41">
      <c r="A41" s="13" t="inlineStr">
        <is>
          <t>E3-LP</t>
        </is>
      </c>
      <c r="B41" s="13" t="inlineStr">
        <is>
          <t>Lucro Presumido</t>
        </is>
      </c>
      <c r="C41" s="14" t="inlineStr">
        <is>
          <t>comercio; receita R$ 2.000.000,00/ano; folha CLT R$ 240.000,00; pró-labore R$ 36.000,00; compras R$ 1.200.000,00; desp. creditáveis R$ 80.000,00; outras desp. R$ 150.000,00; ano 2026; ICMS 18%</t>
        </is>
      </c>
      <c r="D41" s="13" t="inlineStr">
        <is>
          <t>INSS patronal</t>
        </is>
      </c>
      <c r="E41" s="15" t="n">
        <v>73920</v>
      </c>
      <c r="F41" s="8" t="n"/>
      <c r="G41" s="15">
        <f>IF(F41="","",E41-F41)</f>
        <v/>
      </c>
      <c r="H41" s="13" t="n"/>
      <c r="I41" s="14" t="n"/>
    </row>
    <row r="42">
      <c r="A42" s="16" t="inlineStr">
        <is>
          <t>E3-LP</t>
        </is>
      </c>
      <c r="B42" s="16" t="inlineStr">
        <is>
          <t>Lucro Presumido</t>
        </is>
      </c>
      <c r="C42" s="17" t="inlineStr">
        <is>
          <t>comercio; receita R$ 2.000.000,00/ano; folha CLT R$ 240.000,00; pró-labore R$ 36.000,00; compras R$ 1.200.000,00; desp. creditáveis R$ 80.000,00; outras desp. R$ 150.000,00; ano 2026; ICMS 18%</t>
        </is>
      </c>
      <c r="D42" s="16" t="inlineStr">
        <is>
          <t>TOTAL</t>
        </is>
      </c>
      <c r="E42" s="18">
        <f>SUM(E36:E41)</f>
        <v/>
      </c>
      <c r="F42" s="12" t="n"/>
      <c r="G42" s="18">
        <f>IF(F42="","",E42-F42)</f>
        <v/>
      </c>
      <c r="H42" s="16" t="n"/>
      <c r="I42" s="17" t="n"/>
    </row>
    <row r="43">
      <c r="A43" s="5" t="inlineStr">
        <is>
          <t>E3-LR</t>
        </is>
      </c>
      <c r="B43" s="5" t="inlineStr">
        <is>
          <t>Lucro Real</t>
        </is>
      </c>
      <c r="C43" s="6" t="inlineStr">
        <is>
          <t>comercio; receita R$ 2.000.000,00/ano; folha CLT R$ 240.000,00; pró-labore R$ 36.000,00; compras R$ 1.200.000,00; desp. creditáveis R$ 80.000,00; outras desp. R$ 150.000,00; ano 2026; ICMS 18%</t>
        </is>
      </c>
      <c r="D43" s="5" t="inlineStr">
        <is>
          <t>PIS</t>
        </is>
      </c>
      <c r="E43" s="7" t="n">
        <v>11880</v>
      </c>
      <c r="F43" s="8" t="n"/>
      <c r="G43" s="7">
        <f>IF(F43="","",E43-F43)</f>
        <v/>
      </c>
      <c r="H43" s="5" t="n"/>
      <c r="I43" s="6" t="n"/>
    </row>
    <row r="44">
      <c r="A44" s="5" t="inlineStr">
        <is>
          <t>E3-LR</t>
        </is>
      </c>
      <c r="B44" s="5" t="inlineStr">
        <is>
          <t>Lucro Real</t>
        </is>
      </c>
      <c r="C44" s="6" t="inlineStr">
        <is>
          <t>comercio; receita R$ 2.000.000,00/ano; folha CLT R$ 240.000,00; pró-labore R$ 36.000,00; compras R$ 1.200.000,00; desp. creditáveis R$ 80.000,00; outras desp. R$ 150.000,00; ano 2026; ICMS 18%</t>
        </is>
      </c>
      <c r="D44" s="5" t="inlineStr">
        <is>
          <t>Cofins</t>
        </is>
      </c>
      <c r="E44" s="7" t="n">
        <v>54720</v>
      </c>
      <c r="F44" s="8" t="n"/>
      <c r="G44" s="7">
        <f>IF(F44="","",E44-F44)</f>
        <v/>
      </c>
      <c r="H44" s="5" t="n"/>
      <c r="I44" s="6" t="n"/>
    </row>
    <row r="45">
      <c r="A45" s="5" t="inlineStr">
        <is>
          <t>E3-LR</t>
        </is>
      </c>
      <c r="B45" s="5" t="inlineStr">
        <is>
          <t>Lucro Real</t>
        </is>
      </c>
      <c r="C45" s="6" t="inlineStr">
        <is>
          <t>comercio; receita R$ 2.000.000,00/ano; folha CLT R$ 240.000,00; pró-labore R$ 36.000,00; compras R$ 1.200.000,00; desp. creditáveis R$ 80.000,00; outras desp. R$ 150.000,00; ano 2026; ICMS 18%</t>
        </is>
      </c>
      <c r="D45" s="5" t="inlineStr">
        <is>
          <t>ICMS</t>
        </is>
      </c>
      <c r="E45" s="7" t="n">
        <v>144000</v>
      </c>
      <c r="F45" s="8" t="n"/>
      <c r="G45" s="7">
        <f>IF(F45="","",E45-F45)</f>
        <v/>
      </c>
      <c r="H45" s="5" t="n"/>
      <c r="I45" s="6" t="n"/>
    </row>
    <row r="46">
      <c r="A46" s="5" t="inlineStr">
        <is>
          <t>E3-LR</t>
        </is>
      </c>
      <c r="B46" s="5" t="inlineStr">
        <is>
          <t>Lucro Real</t>
        </is>
      </c>
      <c r="C46" s="6" t="inlineStr">
        <is>
          <t>comercio; receita R$ 2.000.000,00/ano; folha CLT R$ 240.000,00; pró-labore R$ 36.000,00; compras R$ 1.200.000,00; desp. creditáveis R$ 80.000,00; outras desp. R$ 150.000,00; ano 2026; ICMS 18%</t>
        </is>
      </c>
      <c r="D46" s="5" t="inlineStr">
        <is>
          <t>INSS patronal</t>
        </is>
      </c>
      <c r="E46" s="7" t="n">
        <v>73920</v>
      </c>
      <c r="F46" s="8" t="n"/>
      <c r="G46" s="7">
        <f>IF(F46="","",E46-F46)</f>
        <v/>
      </c>
      <c r="H46" s="5" t="n"/>
      <c r="I46" s="6" t="n"/>
    </row>
    <row r="47">
      <c r="A47" s="5" t="inlineStr">
        <is>
          <t>E3-LR</t>
        </is>
      </c>
      <c r="B47" s="5" t="inlineStr">
        <is>
          <t>Lucro Real</t>
        </is>
      </c>
      <c r="C47" s="6" t="inlineStr">
        <is>
          <t>comercio; receita R$ 2.000.000,00/ano; folha CLT R$ 240.000,00; pró-labore R$ 36.000,00; compras R$ 1.200.000,00; desp. creditáveis R$ 80.000,00; outras desp. R$ 150.000,00; ano 2026; ICMS 18%</t>
        </is>
      </c>
      <c r="D47" s="5" t="inlineStr">
        <is>
          <t>IRPJ</t>
        </is>
      </c>
      <c r="E47" s="7" t="n">
        <v>0</v>
      </c>
      <c r="F47" s="8" t="n"/>
      <c r="G47" s="7">
        <f>IF(F47="","",E47-F47)</f>
        <v/>
      </c>
      <c r="H47" s="5" t="n"/>
      <c r="I47" s="6" t="n"/>
    </row>
    <row r="48">
      <c r="A48" s="5" t="inlineStr">
        <is>
          <t>E3-LR</t>
        </is>
      </c>
      <c r="B48" s="5" t="inlineStr">
        <is>
          <t>Lucro Real</t>
        </is>
      </c>
      <c r="C48" s="6" t="inlineStr">
        <is>
          <t>comercio; receita R$ 2.000.000,00/ano; folha CLT R$ 240.000,00; pró-labore R$ 36.000,00; compras R$ 1.200.000,00; desp. creditáveis R$ 80.000,00; outras desp. R$ 150.000,00; ano 2026; ICMS 18%</t>
        </is>
      </c>
      <c r="D48" s="5" t="inlineStr">
        <is>
          <t>CSLL</t>
        </is>
      </c>
      <c r="E48" s="7" t="n">
        <v>0</v>
      </c>
      <c r="F48" s="8" t="n"/>
      <c r="G48" s="7">
        <f>IF(F48="","",E48-F48)</f>
        <v/>
      </c>
      <c r="H48" s="5" t="n"/>
      <c r="I48" s="6" t="n"/>
    </row>
    <row r="49">
      <c r="A49" s="9" t="inlineStr">
        <is>
          <t>E3-LR</t>
        </is>
      </c>
      <c r="B49" s="9" t="inlineStr">
        <is>
          <t>Lucro Real</t>
        </is>
      </c>
      <c r="C49" s="10" t="inlineStr">
        <is>
          <t>comercio; receita R$ 2.000.000,00/ano; folha CLT R$ 240.000,00; pró-labore R$ 36.000,00; compras R$ 1.200.000,00; desp. creditáveis R$ 80.000,00; outras desp. R$ 150.000,00; ano 2026; ICMS 18%</t>
        </is>
      </c>
      <c r="D49" s="9" t="inlineStr">
        <is>
          <t>TOTAL</t>
        </is>
      </c>
      <c r="E49" s="11">
        <f>SUM(E43:E48)</f>
        <v/>
      </c>
      <c r="F49" s="12" t="n"/>
      <c r="G49" s="11">
        <f>IF(F49="","",E49-F49)</f>
        <v/>
      </c>
      <c r="H49" s="9" t="n"/>
      <c r="I49" s="10" t="n"/>
    </row>
    <row r="50">
      <c r="A50" s="13" t="inlineStr">
        <is>
          <t>E4-SN</t>
        </is>
      </c>
      <c r="B50" s="13" t="inlineStr">
        <is>
          <t>Simples Nacional</t>
        </is>
      </c>
      <c r="C50" s="14" t="inlineStr">
        <is>
          <t>industria; receita R$ 3.000.000,00/ano; folha CLT R$ 600.000,00; pró-labore R$ 60.000,00; compras R$ 1.500.000,00; desp. creditáveis R$ 200.000,00; outras desp. R$ 100.000,00; ano 2026; ICMS 18%</t>
        </is>
      </c>
      <c r="D50" s="13" t="inlineStr">
        <is>
          <t>DAS</t>
        </is>
      </c>
      <c r="E50" s="15" t="n">
        <v>355500</v>
      </c>
      <c r="F50" s="8" t="n"/>
      <c r="G50" s="15">
        <f>IF(F50="","",E50-F50)</f>
        <v/>
      </c>
      <c r="H50" s="13" t="n"/>
      <c r="I50" s="14" t="n"/>
    </row>
    <row r="51">
      <c r="A51" s="16" t="inlineStr">
        <is>
          <t>E4-SN</t>
        </is>
      </c>
      <c r="B51" s="16" t="inlineStr">
        <is>
          <t>Simples Nacional</t>
        </is>
      </c>
      <c r="C51" s="17" t="inlineStr">
        <is>
          <t>industria; receita R$ 3.000.000,00/ano; folha CLT R$ 600.000,00; pró-labore R$ 60.000,00; compras R$ 1.500.000,00; desp. creditáveis R$ 200.000,00; outras desp. R$ 100.000,00; ano 2026; ICMS 18%</t>
        </is>
      </c>
      <c r="D51" s="16" t="inlineStr">
        <is>
          <t>TOTAL</t>
        </is>
      </c>
      <c r="E51" s="18">
        <f>SUM(E50:E50)</f>
        <v/>
      </c>
      <c r="F51" s="12" t="n"/>
      <c r="G51" s="18">
        <f>IF(F51="","",E51-F51)</f>
        <v/>
      </c>
      <c r="H51" s="16" t="n"/>
      <c r="I51" s="17" t="n"/>
    </row>
    <row r="52">
      <c r="A52" s="5" t="inlineStr">
        <is>
          <t>E4-LP</t>
        </is>
      </c>
      <c r="B52" s="5" t="inlineStr">
        <is>
          <t>Lucro Presumido</t>
        </is>
      </c>
      <c r="C52" s="6" t="inlineStr">
        <is>
          <t>industria; receita R$ 3.000.000,00/ano; folha CLT R$ 600.000,00; pró-labore R$ 60.000,00; compras R$ 1.500.000,00; desp. creditáveis R$ 200.000,00; outras desp. R$ 100.000,00; ano 2026; ICMS 18%</t>
        </is>
      </c>
      <c r="D52" s="5" t="inlineStr">
        <is>
          <t>IRPJ</t>
        </is>
      </c>
      <c r="E52" s="7" t="n">
        <v>36000</v>
      </c>
      <c r="F52" s="8" t="n"/>
      <c r="G52" s="7">
        <f>IF(F52="","",E52-F52)</f>
        <v/>
      </c>
      <c r="H52" s="5" t="n"/>
      <c r="I52" s="6" t="n"/>
    </row>
    <row r="53">
      <c r="A53" s="5" t="inlineStr">
        <is>
          <t>E4-LP</t>
        </is>
      </c>
      <c r="B53" s="5" t="inlineStr">
        <is>
          <t>Lucro Presumido</t>
        </is>
      </c>
      <c r="C53" s="6" t="inlineStr">
        <is>
          <t>industria; receita R$ 3.000.000,00/ano; folha CLT R$ 600.000,00; pró-labore R$ 60.000,00; compras R$ 1.500.000,00; desp. creditáveis R$ 200.000,00; outras desp. R$ 100.000,00; ano 2026; ICMS 18%</t>
        </is>
      </c>
      <c r="D53" s="5" t="inlineStr">
        <is>
          <t>CSLL</t>
        </is>
      </c>
      <c r="E53" s="7" t="n">
        <v>32400</v>
      </c>
      <c r="F53" s="8" t="n"/>
      <c r="G53" s="7">
        <f>IF(F53="","",E53-F53)</f>
        <v/>
      </c>
      <c r="H53" s="5" t="n"/>
      <c r="I53" s="6" t="n"/>
    </row>
    <row r="54">
      <c r="A54" s="5" t="inlineStr">
        <is>
          <t>E4-LP</t>
        </is>
      </c>
      <c r="B54" s="5" t="inlineStr">
        <is>
          <t>Lucro Presumido</t>
        </is>
      </c>
      <c r="C54" s="6" t="inlineStr">
        <is>
          <t>industria; receita R$ 3.000.000,00/ano; folha CLT R$ 600.000,00; pró-labore R$ 60.000,00; compras R$ 1.500.000,00; desp. creditáveis R$ 200.000,00; outras desp. R$ 100.000,00; ano 2026; ICMS 18%</t>
        </is>
      </c>
      <c r="D54" s="5" t="inlineStr">
        <is>
          <t>PIS</t>
        </is>
      </c>
      <c r="E54" s="7" t="n">
        <v>19500</v>
      </c>
      <c r="F54" s="8" t="n"/>
      <c r="G54" s="7">
        <f>IF(F54="","",E54-F54)</f>
        <v/>
      </c>
      <c r="H54" s="5" t="n"/>
      <c r="I54" s="6" t="n"/>
    </row>
    <row r="55">
      <c r="A55" s="5" t="inlineStr">
        <is>
          <t>E4-LP</t>
        </is>
      </c>
      <c r="B55" s="5" t="inlineStr">
        <is>
          <t>Lucro Presumido</t>
        </is>
      </c>
      <c r="C55" s="6" t="inlineStr">
        <is>
          <t>industria; receita R$ 3.000.000,00/ano; folha CLT R$ 600.000,00; pró-labore R$ 60.000,00; compras R$ 1.500.000,00; desp. creditáveis R$ 200.000,00; outras desp. R$ 100.000,00; ano 2026; ICMS 18%</t>
        </is>
      </c>
      <c r="D55" s="5" t="inlineStr">
        <is>
          <t>Cofins</t>
        </is>
      </c>
      <c r="E55" s="7" t="n">
        <v>90000</v>
      </c>
      <c r="F55" s="8" t="n"/>
      <c r="G55" s="7">
        <f>IF(F55="","",E55-F55)</f>
        <v/>
      </c>
      <c r="H55" s="5" t="n"/>
      <c r="I55" s="6" t="n"/>
    </row>
    <row r="56">
      <c r="A56" s="5" t="inlineStr">
        <is>
          <t>E4-LP</t>
        </is>
      </c>
      <c r="B56" s="5" t="inlineStr">
        <is>
          <t>Lucro Presumido</t>
        </is>
      </c>
      <c r="C56" s="6" t="inlineStr">
        <is>
          <t>industria; receita R$ 3.000.000,00/ano; folha CLT R$ 600.000,00; pró-labore R$ 60.000,00; compras R$ 1.500.000,00; desp. creditáveis R$ 200.000,00; outras desp. R$ 100.000,00; ano 2026; ICMS 18%</t>
        </is>
      </c>
      <c r="D56" s="5" t="inlineStr">
        <is>
          <t>ICMS</t>
        </is>
      </c>
      <c r="E56" s="7" t="n">
        <v>270000</v>
      </c>
      <c r="F56" s="8" t="n"/>
      <c r="G56" s="7">
        <f>IF(F56="","",E56-F56)</f>
        <v/>
      </c>
      <c r="H56" s="5" t="n"/>
      <c r="I56" s="6" t="n"/>
    </row>
    <row r="57">
      <c r="A57" s="5" t="inlineStr">
        <is>
          <t>E4-LP</t>
        </is>
      </c>
      <c r="B57" s="5" t="inlineStr">
        <is>
          <t>Lucro Presumido</t>
        </is>
      </c>
      <c r="C57" s="6" t="inlineStr">
        <is>
          <t>industria; receita R$ 3.000.000,00/ano; folha CLT R$ 600.000,00; pró-labore R$ 60.000,00; compras R$ 1.500.000,00; desp. creditáveis R$ 200.000,00; outras desp. R$ 100.000,00; ano 2026; ICMS 18%</t>
        </is>
      </c>
      <c r="D57" s="5" t="inlineStr">
        <is>
          <t>INSS patronal</t>
        </is>
      </c>
      <c r="E57" s="7" t="n">
        <v>178800</v>
      </c>
      <c r="F57" s="8" t="n"/>
      <c r="G57" s="7">
        <f>IF(F57="","",E57-F57)</f>
        <v/>
      </c>
      <c r="H57" s="5" t="n"/>
      <c r="I57" s="6" t="n"/>
    </row>
    <row r="58">
      <c r="A58" s="9" t="inlineStr">
        <is>
          <t>E4-LP</t>
        </is>
      </c>
      <c r="B58" s="9" t="inlineStr">
        <is>
          <t>Lucro Presumido</t>
        </is>
      </c>
      <c r="C58" s="10" t="inlineStr">
        <is>
          <t>industria; receita R$ 3.000.000,00/ano; folha CLT R$ 600.000,00; pró-labore R$ 60.000,00; compras R$ 1.500.000,00; desp. creditáveis R$ 200.000,00; outras desp. R$ 100.000,00; ano 2026; ICMS 18%</t>
        </is>
      </c>
      <c r="D58" s="9" t="inlineStr">
        <is>
          <t>TOTAL</t>
        </is>
      </c>
      <c r="E58" s="11">
        <f>SUM(E52:E57)</f>
        <v/>
      </c>
      <c r="F58" s="12" t="n"/>
      <c r="G58" s="11">
        <f>IF(F58="","",E58-F58)</f>
        <v/>
      </c>
      <c r="H58" s="9" t="n"/>
      <c r="I58" s="10" t="n"/>
    </row>
    <row r="59">
      <c r="A59" s="13" t="inlineStr">
        <is>
          <t>E4-LR</t>
        </is>
      </c>
      <c r="B59" s="13" t="inlineStr">
        <is>
          <t>Lucro Real</t>
        </is>
      </c>
      <c r="C59" s="14" t="inlineStr">
        <is>
          <t>industria; receita R$ 3.000.000,00/ano; folha CLT R$ 600.000,00; pró-labore R$ 60.000,00; compras R$ 1.500.000,00; desp. creditáveis R$ 200.000,00; outras desp. R$ 100.000,00; ano 2026; ICMS 18%</t>
        </is>
      </c>
      <c r="D59" s="13" t="inlineStr">
        <is>
          <t>PIS</t>
        </is>
      </c>
      <c r="E59" s="15" t="n">
        <v>21450</v>
      </c>
      <c r="F59" s="8" t="n"/>
      <c r="G59" s="15">
        <f>IF(F59="","",E59-F59)</f>
        <v/>
      </c>
      <c r="H59" s="13" t="n"/>
      <c r="I59" s="14" t="n"/>
    </row>
    <row r="60">
      <c r="A60" s="13" t="inlineStr">
        <is>
          <t>E4-LR</t>
        </is>
      </c>
      <c r="B60" s="13" t="inlineStr">
        <is>
          <t>Lucro Real</t>
        </is>
      </c>
      <c r="C60" s="14" t="inlineStr">
        <is>
          <t>industria; receita R$ 3.000.000,00/ano; folha CLT R$ 600.000,00; pró-labore R$ 60.000,00; compras R$ 1.500.000,00; desp. creditáveis R$ 200.000,00; outras desp. R$ 100.000,00; ano 2026; ICMS 18%</t>
        </is>
      </c>
      <c r="D60" s="13" t="inlineStr">
        <is>
          <t>Cofins</t>
        </is>
      </c>
      <c r="E60" s="15" t="n">
        <v>98800</v>
      </c>
      <c r="F60" s="8" t="n"/>
      <c r="G60" s="15">
        <f>IF(F60="","",E60-F60)</f>
        <v/>
      </c>
      <c r="H60" s="13" t="n"/>
      <c r="I60" s="14" t="n"/>
    </row>
    <row r="61">
      <c r="A61" s="13" t="inlineStr">
        <is>
          <t>E4-LR</t>
        </is>
      </c>
      <c r="B61" s="13" t="inlineStr">
        <is>
          <t>Lucro Real</t>
        </is>
      </c>
      <c r="C61" s="14" t="inlineStr">
        <is>
          <t>industria; receita R$ 3.000.000,00/ano; folha CLT R$ 600.000,00; pró-labore R$ 60.000,00; compras R$ 1.500.000,00; desp. creditáveis R$ 200.000,00; outras desp. R$ 100.000,00; ano 2026; ICMS 18%</t>
        </is>
      </c>
      <c r="D61" s="13" t="inlineStr">
        <is>
          <t>ICMS</t>
        </is>
      </c>
      <c r="E61" s="15" t="n">
        <v>270000</v>
      </c>
      <c r="F61" s="8" t="n"/>
      <c r="G61" s="15">
        <f>IF(F61="","",E61-F61)</f>
        <v/>
      </c>
      <c r="H61" s="13" t="n"/>
      <c r="I61" s="14" t="n"/>
    </row>
    <row r="62">
      <c r="A62" s="13" t="inlineStr">
        <is>
          <t>E4-LR</t>
        </is>
      </c>
      <c r="B62" s="13" t="inlineStr">
        <is>
          <t>Lucro Real</t>
        </is>
      </c>
      <c r="C62" s="14" t="inlineStr">
        <is>
          <t>industria; receita R$ 3.000.000,00/ano; folha CLT R$ 600.000,00; pró-labore R$ 60.000,00; compras R$ 1.500.000,00; desp. creditáveis R$ 200.000,00; outras desp. R$ 100.000,00; ano 2026; ICMS 18%</t>
        </is>
      </c>
      <c r="D62" s="13" t="inlineStr">
        <is>
          <t>INSS patronal</t>
        </is>
      </c>
      <c r="E62" s="15" t="n">
        <v>178800</v>
      </c>
      <c r="F62" s="8" t="n"/>
      <c r="G62" s="15">
        <f>IF(F62="","",E62-F62)</f>
        <v/>
      </c>
      <c r="H62" s="13" t="n"/>
      <c r="I62" s="14" t="n"/>
    </row>
    <row r="63">
      <c r="A63" s="13" t="inlineStr">
        <is>
          <t>E4-LR</t>
        </is>
      </c>
      <c r="B63" s="13" t="inlineStr">
        <is>
          <t>Lucro Real</t>
        </is>
      </c>
      <c r="C63" s="14" t="inlineStr">
        <is>
          <t>industria; receita R$ 3.000.000,00/ano; folha CLT R$ 600.000,00; pró-labore R$ 60.000,00; compras R$ 1.500.000,00; desp. creditáveis R$ 200.000,00; outras desp. R$ 100.000,00; ano 2026; ICMS 18%</t>
        </is>
      </c>
      <c r="D63" s="13" t="inlineStr">
        <is>
          <t>IRPJ</t>
        </is>
      </c>
      <c r="E63" s="15" t="n">
        <v>0</v>
      </c>
      <c r="F63" s="8" t="n"/>
      <c r="G63" s="15">
        <f>IF(F63="","",E63-F63)</f>
        <v/>
      </c>
      <c r="H63" s="13" t="n"/>
      <c r="I63" s="14" t="n"/>
    </row>
    <row r="64">
      <c r="A64" s="13" t="inlineStr">
        <is>
          <t>E4-LR</t>
        </is>
      </c>
      <c r="B64" s="13" t="inlineStr">
        <is>
          <t>Lucro Real</t>
        </is>
      </c>
      <c r="C64" s="14" t="inlineStr">
        <is>
          <t>industria; receita R$ 3.000.000,00/ano; folha CLT R$ 600.000,00; pró-labore R$ 60.000,00; compras R$ 1.500.000,00; desp. creditáveis R$ 200.000,00; outras desp. R$ 100.000,00; ano 2026; ICMS 18%</t>
        </is>
      </c>
      <c r="D64" s="13" t="inlineStr">
        <is>
          <t>CSLL</t>
        </is>
      </c>
      <c r="E64" s="15" t="n">
        <v>0</v>
      </c>
      <c r="F64" s="8" t="n"/>
      <c r="G64" s="15">
        <f>IF(F64="","",E64-F64)</f>
        <v/>
      </c>
      <c r="H64" s="13" t="n"/>
      <c r="I64" s="14" t="n"/>
    </row>
    <row r="65">
      <c r="A65" s="16" t="inlineStr">
        <is>
          <t>E4-LR</t>
        </is>
      </c>
      <c r="B65" s="16" t="inlineStr">
        <is>
          <t>Lucro Real</t>
        </is>
      </c>
      <c r="C65" s="17" t="inlineStr">
        <is>
          <t>industria; receita R$ 3.000.000,00/ano; folha CLT R$ 600.000,00; pró-labore R$ 60.000,00; compras R$ 1.500.000,00; desp. creditáveis R$ 200.000,00; outras desp. R$ 100.000,00; ano 2026; ICMS 18%</t>
        </is>
      </c>
      <c r="D65" s="16" t="inlineStr">
        <is>
          <t>TOTAL</t>
        </is>
      </c>
      <c r="E65" s="18">
        <f>SUM(E59:E64)</f>
        <v/>
      </c>
      <c r="F65" s="12" t="n"/>
      <c r="G65" s="18">
        <f>IF(F65="","",E65-F65)</f>
        <v/>
      </c>
      <c r="H65" s="16" t="n"/>
      <c r="I65" s="17" t="n"/>
    </row>
    <row r="66">
      <c r="A66" s="5" t="inlineStr">
        <is>
          <t>E5-SN</t>
        </is>
      </c>
      <c r="B66" s="5" t="inlineStr">
        <is>
          <t>Simples Nacional</t>
        </is>
      </c>
      <c r="C66" s="6" t="inlineStr">
        <is>
          <t>servico_anexo_iv; receita R$ 900.000,00/ano; folha CLT R$ 300.000,00; pró-labore R$ 36.000,00; outras desp. R$ 200.000,00; ano 2026; ISS 3%</t>
        </is>
      </c>
      <c r="D66" s="5" t="inlineStr">
        <is>
          <t>DAS</t>
        </is>
      </c>
      <c r="E66" s="7" t="n">
        <v>86220</v>
      </c>
      <c r="F66" s="8" t="n"/>
      <c r="G66" s="7">
        <f>IF(F66="","",E66-F66)</f>
        <v/>
      </c>
      <c r="H66" s="5" t="n"/>
      <c r="I66" s="6" t="n"/>
    </row>
    <row r="67">
      <c r="A67" s="5" t="inlineStr">
        <is>
          <t>E5-SN</t>
        </is>
      </c>
      <c r="B67" s="5" t="inlineStr">
        <is>
          <t>Simples Nacional</t>
        </is>
      </c>
      <c r="C67" s="6" t="inlineStr">
        <is>
          <t>servico_anexo_iv; receita R$ 900.000,00/ano; folha CLT R$ 300.000,00; pró-labore R$ 36.000,00; outras desp. R$ 200.000,00; ano 2026; ISS 3%</t>
        </is>
      </c>
      <c r="D67" s="5" t="inlineStr">
        <is>
          <t>INSS patronal (fora do DAS)</t>
        </is>
      </c>
      <c r="E67" s="7" t="n">
        <v>73200</v>
      </c>
      <c r="F67" s="8" t="n"/>
      <c r="G67" s="7">
        <f>IF(F67="","",E67-F67)</f>
        <v/>
      </c>
      <c r="H67" s="5" t="n"/>
      <c r="I67" s="6" t="n"/>
    </row>
    <row r="68">
      <c r="A68" s="9" t="inlineStr">
        <is>
          <t>E5-SN</t>
        </is>
      </c>
      <c r="B68" s="9" t="inlineStr">
        <is>
          <t>Simples Nacional</t>
        </is>
      </c>
      <c r="C68" s="10" t="inlineStr">
        <is>
          <t>servico_anexo_iv; receita R$ 900.000,00/ano; folha CLT R$ 300.000,00; pró-labore R$ 36.000,00; outras desp. R$ 200.000,00; ano 2026; ISS 3%</t>
        </is>
      </c>
      <c r="D68" s="9" t="inlineStr">
        <is>
          <t>TOTAL</t>
        </is>
      </c>
      <c r="E68" s="11">
        <f>SUM(E66:E67)</f>
        <v/>
      </c>
      <c r="F68" s="12" t="n"/>
      <c r="G68" s="11">
        <f>IF(F68="","",E68-F68)</f>
        <v/>
      </c>
      <c r="H68" s="9" t="n"/>
      <c r="I68" s="10" t="n"/>
    </row>
    <row r="69">
      <c r="A69" s="13" t="inlineStr">
        <is>
          <t>E5-LP</t>
        </is>
      </c>
      <c r="B69" s="13" t="inlineStr">
        <is>
          <t>Lucro Presumido</t>
        </is>
      </c>
      <c r="C69" s="14" t="inlineStr">
        <is>
          <t>servico_anexo_iv; receita R$ 900.000,00/ano; folha CLT R$ 300.000,00; pró-labore R$ 36.000,00; outras desp. R$ 200.000,00; ano 2026; ISS 3%</t>
        </is>
      </c>
      <c r="D69" s="13" t="inlineStr">
        <is>
          <t>IRPJ</t>
        </is>
      </c>
      <c r="E69" s="15" t="n">
        <v>48000</v>
      </c>
      <c r="F69" s="8" t="n"/>
      <c r="G69" s="15">
        <f>IF(F69="","",E69-F69)</f>
        <v/>
      </c>
      <c r="H69" s="13" t="n"/>
      <c r="I69" s="14" t="n"/>
    </row>
    <row r="70">
      <c r="A70" s="13" t="inlineStr">
        <is>
          <t>E5-LP</t>
        </is>
      </c>
      <c r="B70" s="13" t="inlineStr">
        <is>
          <t>Lucro Presumido</t>
        </is>
      </c>
      <c r="C70" s="14" t="inlineStr">
        <is>
          <t>servico_anexo_iv; receita R$ 900.000,00/ano; folha CLT R$ 300.000,00; pró-labore R$ 36.000,00; outras desp. R$ 200.000,00; ano 2026; ISS 3%</t>
        </is>
      </c>
      <c r="D70" s="13" t="inlineStr">
        <is>
          <t>CSLL</t>
        </is>
      </c>
      <c r="E70" s="15" t="n">
        <v>25920</v>
      </c>
      <c r="F70" s="8" t="n"/>
      <c r="G70" s="15">
        <f>IF(F70="","",E70-F70)</f>
        <v/>
      </c>
      <c r="H70" s="13" t="n"/>
      <c r="I70" s="14" t="n"/>
    </row>
    <row r="71">
      <c r="A71" s="13" t="inlineStr">
        <is>
          <t>E5-LP</t>
        </is>
      </c>
      <c r="B71" s="13" t="inlineStr">
        <is>
          <t>Lucro Presumido</t>
        </is>
      </c>
      <c r="C71" s="14" t="inlineStr">
        <is>
          <t>servico_anexo_iv; receita R$ 900.000,00/ano; folha CLT R$ 300.000,00; pró-labore R$ 36.000,00; outras desp. R$ 200.000,00; ano 2026; ISS 3%</t>
        </is>
      </c>
      <c r="D71" s="13" t="inlineStr">
        <is>
          <t>PIS</t>
        </is>
      </c>
      <c r="E71" s="15" t="n">
        <v>5850</v>
      </c>
      <c r="F71" s="8" t="n"/>
      <c r="G71" s="15">
        <f>IF(F71="","",E71-F71)</f>
        <v/>
      </c>
      <c r="H71" s="13" t="n"/>
      <c r="I71" s="14" t="n"/>
    </row>
    <row r="72">
      <c r="A72" s="13" t="inlineStr">
        <is>
          <t>E5-LP</t>
        </is>
      </c>
      <c r="B72" s="13" t="inlineStr">
        <is>
          <t>Lucro Presumido</t>
        </is>
      </c>
      <c r="C72" s="14" t="inlineStr">
        <is>
          <t>servico_anexo_iv; receita R$ 900.000,00/ano; folha CLT R$ 300.000,00; pró-labore R$ 36.000,00; outras desp. R$ 200.000,00; ano 2026; ISS 3%</t>
        </is>
      </c>
      <c r="D72" s="13" t="inlineStr">
        <is>
          <t>Cofins</t>
        </is>
      </c>
      <c r="E72" s="15" t="n">
        <v>27000</v>
      </c>
      <c r="F72" s="8" t="n"/>
      <c r="G72" s="15">
        <f>IF(F72="","",E72-F72)</f>
        <v/>
      </c>
      <c r="H72" s="13" t="n"/>
      <c r="I72" s="14" t="n"/>
    </row>
    <row r="73">
      <c r="A73" s="13" t="inlineStr">
        <is>
          <t>E5-LP</t>
        </is>
      </c>
      <c r="B73" s="13" t="inlineStr">
        <is>
          <t>Lucro Presumido</t>
        </is>
      </c>
      <c r="C73" s="14" t="inlineStr">
        <is>
          <t>servico_anexo_iv; receita R$ 900.000,00/ano; folha CLT R$ 300.000,00; pró-labore R$ 36.000,00; outras desp. R$ 200.000,00; ano 2026; ISS 3%</t>
        </is>
      </c>
      <c r="D73" s="13" t="inlineStr">
        <is>
          <t>ISS</t>
        </is>
      </c>
      <c r="E73" s="15" t="n">
        <v>27000</v>
      </c>
      <c r="F73" s="8" t="n"/>
      <c r="G73" s="15">
        <f>IF(F73="","",E73-F73)</f>
        <v/>
      </c>
      <c r="H73" s="13" t="n"/>
      <c r="I73" s="14" t="n"/>
    </row>
    <row r="74">
      <c r="A74" s="13" t="inlineStr">
        <is>
          <t>E5-LP</t>
        </is>
      </c>
      <c r="B74" s="13" t="inlineStr">
        <is>
          <t>Lucro Presumido</t>
        </is>
      </c>
      <c r="C74" s="14" t="inlineStr">
        <is>
          <t>servico_anexo_iv; receita R$ 900.000,00/ano; folha CLT R$ 300.000,00; pró-labore R$ 36.000,00; outras desp. R$ 200.000,00; ano 2026; ISS 3%</t>
        </is>
      </c>
      <c r="D74" s="13" t="inlineStr">
        <is>
          <t>INSS patronal</t>
        </is>
      </c>
      <c r="E74" s="15" t="n">
        <v>90600</v>
      </c>
      <c r="F74" s="8" t="n"/>
      <c r="G74" s="15">
        <f>IF(F74="","",E74-F74)</f>
        <v/>
      </c>
      <c r="H74" s="13" t="n"/>
      <c r="I74" s="14" t="n"/>
    </row>
    <row r="75">
      <c r="A75" s="16" t="inlineStr">
        <is>
          <t>E5-LP</t>
        </is>
      </c>
      <c r="B75" s="16" t="inlineStr">
        <is>
          <t>Lucro Presumido</t>
        </is>
      </c>
      <c r="C75" s="17" t="inlineStr">
        <is>
          <t>servico_anexo_iv; receita R$ 900.000,00/ano; folha CLT R$ 300.000,00; pró-labore R$ 36.000,00; outras desp. R$ 200.000,00; ano 2026; ISS 3%</t>
        </is>
      </c>
      <c r="D75" s="16" t="inlineStr">
        <is>
          <t>TOTAL</t>
        </is>
      </c>
      <c r="E75" s="18">
        <f>SUM(E69:E74)</f>
        <v/>
      </c>
      <c r="F75" s="12" t="n"/>
      <c r="G75" s="18">
        <f>IF(F75="","",E75-F75)</f>
        <v/>
      </c>
      <c r="H75" s="16" t="n"/>
      <c r="I75" s="17" t="n"/>
    </row>
    <row r="76">
      <c r="A76" s="5" t="inlineStr">
        <is>
          <t>E5-LR</t>
        </is>
      </c>
      <c r="B76" s="5" t="inlineStr">
        <is>
          <t>Lucro Real</t>
        </is>
      </c>
      <c r="C76" s="6" t="inlineStr">
        <is>
          <t>servico_anexo_iv; receita R$ 900.000,00/ano; folha CLT R$ 300.000,00; pró-labore R$ 36.000,00; outras desp. R$ 200.000,00; ano 2026; ISS 3%</t>
        </is>
      </c>
      <c r="D76" s="5" t="inlineStr">
        <is>
          <t>PIS</t>
        </is>
      </c>
      <c r="E76" s="7" t="n">
        <v>14850</v>
      </c>
      <c r="F76" s="8" t="n"/>
      <c r="G76" s="7">
        <f>IF(F76="","",E76-F76)</f>
        <v/>
      </c>
      <c r="H76" s="5" t="n"/>
      <c r="I76" s="6" t="n"/>
    </row>
    <row r="77">
      <c r="A77" s="5" t="inlineStr">
        <is>
          <t>E5-LR</t>
        </is>
      </c>
      <c r="B77" s="5" t="inlineStr">
        <is>
          <t>Lucro Real</t>
        </is>
      </c>
      <c r="C77" s="6" t="inlineStr">
        <is>
          <t>servico_anexo_iv; receita R$ 900.000,00/ano; folha CLT R$ 300.000,00; pró-labore R$ 36.000,00; outras desp. R$ 200.000,00; ano 2026; ISS 3%</t>
        </is>
      </c>
      <c r="D77" s="5" t="inlineStr">
        <is>
          <t>Cofins</t>
        </is>
      </c>
      <c r="E77" s="7" t="n">
        <v>68400</v>
      </c>
      <c r="F77" s="8" t="n"/>
      <c r="G77" s="7">
        <f>IF(F77="","",E77-F77)</f>
        <v/>
      </c>
      <c r="H77" s="5" t="n"/>
      <c r="I77" s="6" t="n"/>
    </row>
    <row r="78">
      <c r="A78" s="5" t="inlineStr">
        <is>
          <t>E5-LR</t>
        </is>
      </c>
      <c r="B78" s="5" t="inlineStr">
        <is>
          <t>Lucro Real</t>
        </is>
      </c>
      <c r="C78" s="6" t="inlineStr">
        <is>
          <t>servico_anexo_iv; receita R$ 900.000,00/ano; folha CLT R$ 300.000,00; pró-labore R$ 36.000,00; outras desp. R$ 200.000,00; ano 2026; ISS 3%</t>
        </is>
      </c>
      <c r="D78" s="5" t="inlineStr">
        <is>
          <t>ISS</t>
        </is>
      </c>
      <c r="E78" s="7" t="n">
        <v>27000</v>
      </c>
      <c r="F78" s="8" t="n"/>
      <c r="G78" s="7">
        <f>IF(F78="","",E78-F78)</f>
        <v/>
      </c>
      <c r="H78" s="5" t="n"/>
      <c r="I78" s="6" t="n"/>
    </row>
    <row r="79">
      <c r="A79" s="5" t="inlineStr">
        <is>
          <t>E5-LR</t>
        </is>
      </c>
      <c r="B79" s="5" t="inlineStr">
        <is>
          <t>Lucro Real</t>
        </is>
      </c>
      <c r="C79" s="6" t="inlineStr">
        <is>
          <t>servico_anexo_iv; receita R$ 900.000,00/ano; folha CLT R$ 300.000,00; pró-labore R$ 36.000,00; outras desp. R$ 200.000,00; ano 2026; ISS 3%</t>
        </is>
      </c>
      <c r="D79" s="5" t="inlineStr">
        <is>
          <t>INSS patronal</t>
        </is>
      </c>
      <c r="E79" s="7" t="n">
        <v>90600</v>
      </c>
      <c r="F79" s="8" t="n"/>
      <c r="G79" s="7">
        <f>IF(F79="","",E79-F79)</f>
        <v/>
      </c>
      <c r="H79" s="5" t="n"/>
      <c r="I79" s="6" t="n"/>
    </row>
    <row r="80">
      <c r="A80" s="5" t="inlineStr">
        <is>
          <t>E5-LR</t>
        </is>
      </c>
      <c r="B80" s="5" t="inlineStr">
        <is>
          <t>Lucro Real</t>
        </is>
      </c>
      <c r="C80" s="6" t="inlineStr">
        <is>
          <t>servico_anexo_iv; receita R$ 900.000,00/ano; folha CLT R$ 300.000,00; pró-labore R$ 36.000,00; outras desp. R$ 200.000,00; ano 2026; ISS 3%</t>
        </is>
      </c>
      <c r="D80" s="5" t="inlineStr">
        <is>
          <t>IRPJ</t>
        </is>
      </c>
      <c r="E80" s="7" t="n">
        <v>20872.5</v>
      </c>
      <c r="F80" s="8" t="n"/>
      <c r="G80" s="7">
        <f>IF(F80="","",E80-F80)</f>
        <v/>
      </c>
      <c r="H80" s="5" t="n"/>
      <c r="I80" s="6" t="n"/>
    </row>
    <row r="81">
      <c r="A81" s="5" t="inlineStr">
        <is>
          <t>E5-LR</t>
        </is>
      </c>
      <c r="B81" s="5" t="inlineStr">
        <is>
          <t>Lucro Real</t>
        </is>
      </c>
      <c r="C81" s="6" t="inlineStr">
        <is>
          <t>servico_anexo_iv; receita R$ 900.000,00/ano; folha CLT R$ 300.000,00; pró-labore R$ 36.000,00; outras desp. R$ 200.000,00; ano 2026; ISS 3%</t>
        </is>
      </c>
      <c r="D81" s="5" t="inlineStr">
        <is>
          <t>CSLL</t>
        </is>
      </c>
      <c r="E81" s="7" t="n">
        <v>12523.5</v>
      </c>
      <c r="F81" s="8" t="n"/>
      <c r="G81" s="7">
        <f>IF(F81="","",E81-F81)</f>
        <v/>
      </c>
      <c r="H81" s="5" t="n"/>
      <c r="I81" s="6" t="n"/>
    </row>
    <row r="82">
      <c r="A82" s="9" t="inlineStr">
        <is>
          <t>E5-LR</t>
        </is>
      </c>
      <c r="B82" s="9" t="inlineStr">
        <is>
          <t>Lucro Real</t>
        </is>
      </c>
      <c r="C82" s="10" t="inlineStr">
        <is>
          <t>servico_anexo_iv; receita R$ 900.000,00/ano; folha CLT R$ 300.000,00; pró-labore R$ 36.000,00; outras desp. R$ 200.000,00; ano 2026; ISS 3%</t>
        </is>
      </c>
      <c r="D82" s="9" t="inlineStr">
        <is>
          <t>TOTAL</t>
        </is>
      </c>
      <c r="E82" s="11">
        <f>SUM(E76:E81)</f>
        <v/>
      </c>
      <c r="F82" s="12" t="n"/>
      <c r="G82" s="11">
        <f>IF(F82="","",E82-F82)</f>
        <v/>
      </c>
      <c r="H82" s="9" t="n"/>
      <c r="I82" s="10" t="n"/>
    </row>
    <row r="83">
      <c r="A83" s="16" t="inlineStr">
        <is>
          <t>E6-SN</t>
        </is>
      </c>
      <c r="B83" s="16" t="inlineStr">
        <is>
          <t>Simples Nacional</t>
        </is>
      </c>
      <c r="C83" s="17" t="inlineStr">
        <is>
          <t>servico_anexo_iii; receita R$ 8.000.000,00/ano; folha CLT R$ 1.500.000,00; pró-labore R$ 120.000,00; outras desp. R$ 2.000.000,00; ano 2026; ISS 5%</t>
        </is>
      </c>
      <c r="D83" s="16" t="inlineStr">
        <is>
          <t>TOTAL</t>
        </is>
      </c>
      <c r="E83" s="18" t="n">
        <v>0</v>
      </c>
      <c r="F83" s="12" t="n"/>
      <c r="G83" s="18">
        <f>IF(F83="","",E83-F83)</f>
        <v/>
      </c>
      <c r="H83" s="16" t="n"/>
      <c r="I83" s="17" t="n"/>
    </row>
    <row r="84">
      <c r="A84" s="5" t="inlineStr">
        <is>
          <t>E6-LP</t>
        </is>
      </c>
      <c r="B84" s="5" t="inlineStr">
        <is>
          <t>Lucro Presumido</t>
        </is>
      </c>
      <c r="C84" s="6" t="inlineStr">
        <is>
          <t>servico_anexo_iii; receita R$ 8.000.000,00/ano; folha CLT R$ 1.500.000,00; pró-labore R$ 120.000,00; outras desp. R$ 2.000.000,00; ano 2026; ISS 5%</t>
        </is>
      </c>
      <c r="D84" s="5" t="inlineStr">
        <is>
          <t>IRPJ</t>
        </is>
      </c>
      <c r="E84" s="7" t="n">
        <v>640000</v>
      </c>
      <c r="F84" s="8" t="n"/>
      <c r="G84" s="7">
        <f>IF(F84="","",E84-F84)</f>
        <v/>
      </c>
      <c r="H84" s="5" t="n"/>
      <c r="I84" s="6" t="n"/>
    </row>
    <row r="85">
      <c r="A85" s="5" t="inlineStr">
        <is>
          <t>E6-LP</t>
        </is>
      </c>
      <c r="B85" s="5" t="inlineStr">
        <is>
          <t>Lucro Presumido</t>
        </is>
      </c>
      <c r="C85" s="6" t="inlineStr">
        <is>
          <t>servico_anexo_iii; receita R$ 8.000.000,00/ano; folha CLT R$ 1.500.000,00; pró-labore R$ 120.000,00; outras desp. R$ 2.000.000,00; ano 2026; ISS 5%</t>
        </is>
      </c>
      <c r="D85" s="5" t="inlineStr">
        <is>
          <t>CSLL</t>
        </is>
      </c>
      <c r="E85" s="7" t="n">
        <v>236880</v>
      </c>
      <c r="F85" s="8" t="n"/>
      <c r="G85" s="7">
        <f>IF(F85="","",E85-F85)</f>
        <v/>
      </c>
      <c r="H85" s="5" t="n"/>
      <c r="I85" s="6" t="n"/>
    </row>
    <row r="86">
      <c r="A86" s="5" t="inlineStr">
        <is>
          <t>E6-LP</t>
        </is>
      </c>
      <c r="B86" s="5" t="inlineStr">
        <is>
          <t>Lucro Presumido</t>
        </is>
      </c>
      <c r="C86" s="6" t="inlineStr">
        <is>
          <t>servico_anexo_iii; receita R$ 8.000.000,00/ano; folha CLT R$ 1.500.000,00; pró-labore R$ 120.000,00; outras desp. R$ 2.000.000,00; ano 2026; ISS 5%</t>
        </is>
      </c>
      <c r="D86" s="5" t="inlineStr">
        <is>
          <t>PIS</t>
        </is>
      </c>
      <c r="E86" s="7" t="n">
        <v>52000</v>
      </c>
      <c r="F86" s="8" t="n"/>
      <c r="G86" s="7">
        <f>IF(F86="","",E86-F86)</f>
        <v/>
      </c>
      <c r="H86" s="5" t="n"/>
      <c r="I86" s="6" t="n"/>
    </row>
    <row r="87">
      <c r="A87" s="5" t="inlineStr">
        <is>
          <t>E6-LP</t>
        </is>
      </c>
      <c r="B87" s="5" t="inlineStr">
        <is>
          <t>Lucro Presumido</t>
        </is>
      </c>
      <c r="C87" s="6" t="inlineStr">
        <is>
          <t>servico_anexo_iii; receita R$ 8.000.000,00/ano; folha CLT R$ 1.500.000,00; pró-labore R$ 120.000,00; outras desp. R$ 2.000.000,00; ano 2026; ISS 5%</t>
        </is>
      </c>
      <c r="D87" s="5" t="inlineStr">
        <is>
          <t>Cofins</t>
        </is>
      </c>
      <c r="E87" s="7" t="n">
        <v>240000</v>
      </c>
      <c r="F87" s="8" t="n"/>
      <c r="G87" s="7">
        <f>IF(F87="","",E87-F87)</f>
        <v/>
      </c>
      <c r="H87" s="5" t="n"/>
      <c r="I87" s="6" t="n"/>
    </row>
    <row r="88">
      <c r="A88" s="5" t="inlineStr">
        <is>
          <t>E6-LP</t>
        </is>
      </c>
      <c r="B88" s="5" t="inlineStr">
        <is>
          <t>Lucro Presumido</t>
        </is>
      </c>
      <c r="C88" s="6" t="inlineStr">
        <is>
          <t>servico_anexo_iii; receita R$ 8.000.000,00/ano; folha CLT R$ 1.500.000,00; pró-labore R$ 120.000,00; outras desp. R$ 2.000.000,00; ano 2026; ISS 5%</t>
        </is>
      </c>
      <c r="D88" s="5" t="inlineStr">
        <is>
          <t>ISS</t>
        </is>
      </c>
      <c r="E88" s="7" t="n">
        <v>400000</v>
      </c>
      <c r="F88" s="8" t="n"/>
      <c r="G88" s="7">
        <f>IF(F88="","",E88-F88)</f>
        <v/>
      </c>
      <c r="H88" s="5" t="n"/>
      <c r="I88" s="6" t="n"/>
    </row>
    <row r="89">
      <c r="A89" s="5" t="inlineStr">
        <is>
          <t>E6-LP</t>
        </is>
      </c>
      <c r="B89" s="5" t="inlineStr">
        <is>
          <t>Lucro Presumido</t>
        </is>
      </c>
      <c r="C89" s="6" t="inlineStr">
        <is>
          <t>servico_anexo_iii; receita R$ 8.000.000,00/ano; folha CLT R$ 1.500.000,00; pró-labore R$ 120.000,00; outras desp. R$ 2.000.000,00; ano 2026; ISS 5%</t>
        </is>
      </c>
      <c r="D89" s="5" t="inlineStr">
        <is>
          <t>INSS patronal</t>
        </is>
      </c>
      <c r="E89" s="7" t="n">
        <v>441000</v>
      </c>
      <c r="F89" s="8" t="n"/>
      <c r="G89" s="7">
        <f>IF(F89="","",E89-F89)</f>
        <v/>
      </c>
      <c r="H89" s="5" t="n"/>
      <c r="I89" s="6" t="n"/>
    </row>
    <row r="90">
      <c r="A90" s="9" t="inlineStr">
        <is>
          <t>E6-LP</t>
        </is>
      </c>
      <c r="B90" s="9" t="inlineStr">
        <is>
          <t>Lucro Presumido</t>
        </is>
      </c>
      <c r="C90" s="10" t="inlineStr">
        <is>
          <t>servico_anexo_iii; receita R$ 8.000.000,00/ano; folha CLT R$ 1.500.000,00; pró-labore R$ 120.000,00; outras desp. R$ 2.000.000,00; ano 2026; ISS 5%</t>
        </is>
      </c>
      <c r="D90" s="9" t="inlineStr">
        <is>
          <t>TOTAL</t>
        </is>
      </c>
      <c r="E90" s="11">
        <f>SUM(E84:E89)</f>
        <v/>
      </c>
      <c r="F90" s="12" t="n"/>
      <c r="G90" s="11">
        <f>IF(F90="","",E90-F90)</f>
        <v/>
      </c>
      <c r="H90" s="9" t="n"/>
      <c r="I90" s="10" t="n"/>
    </row>
    <row r="91">
      <c r="A91" s="13" t="inlineStr">
        <is>
          <t>E6-LR</t>
        </is>
      </c>
      <c r="B91" s="13" t="inlineStr">
        <is>
          <t>Lucro Real</t>
        </is>
      </c>
      <c r="C91" s="14" t="inlineStr">
        <is>
          <t>servico_anexo_iii; receita R$ 8.000.000,00/ano; folha CLT R$ 1.500.000,00; pró-labore R$ 120.000,00; outras desp. R$ 2.000.000,00; ano 2026; ISS 5%</t>
        </is>
      </c>
      <c r="D91" s="13" t="inlineStr">
        <is>
          <t>PIS</t>
        </is>
      </c>
      <c r="E91" s="15" t="n">
        <v>132000</v>
      </c>
      <c r="F91" s="8" t="n"/>
      <c r="G91" s="15">
        <f>IF(F91="","",E91-F91)</f>
        <v/>
      </c>
      <c r="H91" s="13" t="n"/>
      <c r="I91" s="14" t="n"/>
    </row>
    <row r="92">
      <c r="A92" s="13" t="inlineStr">
        <is>
          <t>E6-LR</t>
        </is>
      </c>
      <c r="B92" s="13" t="inlineStr">
        <is>
          <t>Lucro Real</t>
        </is>
      </c>
      <c r="C92" s="14" t="inlineStr">
        <is>
          <t>servico_anexo_iii; receita R$ 8.000.000,00/ano; folha CLT R$ 1.500.000,00; pró-labore R$ 120.000,00; outras desp. R$ 2.000.000,00; ano 2026; ISS 5%</t>
        </is>
      </c>
      <c r="D92" s="13" t="inlineStr">
        <is>
          <t>Cofins</t>
        </is>
      </c>
      <c r="E92" s="15" t="n">
        <v>608000</v>
      </c>
      <c r="F92" s="8" t="n"/>
      <c r="G92" s="15">
        <f>IF(F92="","",E92-F92)</f>
        <v/>
      </c>
      <c r="H92" s="13" t="n"/>
      <c r="I92" s="14" t="n"/>
    </row>
    <row r="93">
      <c r="A93" s="13" t="inlineStr">
        <is>
          <t>E6-LR</t>
        </is>
      </c>
      <c r="B93" s="13" t="inlineStr">
        <is>
          <t>Lucro Real</t>
        </is>
      </c>
      <c r="C93" s="14" t="inlineStr">
        <is>
          <t>servico_anexo_iii; receita R$ 8.000.000,00/ano; folha CLT R$ 1.500.000,00; pró-labore R$ 120.000,00; outras desp. R$ 2.000.000,00; ano 2026; ISS 5%</t>
        </is>
      </c>
      <c r="D93" s="13" t="inlineStr">
        <is>
          <t>ISS</t>
        </is>
      </c>
      <c r="E93" s="15" t="n">
        <v>400000</v>
      </c>
      <c r="F93" s="8" t="n"/>
      <c r="G93" s="15">
        <f>IF(F93="","",E93-F93)</f>
        <v/>
      </c>
      <c r="H93" s="13" t="n"/>
      <c r="I93" s="14" t="n"/>
    </row>
    <row r="94">
      <c r="A94" s="13" t="inlineStr">
        <is>
          <t>E6-LR</t>
        </is>
      </c>
      <c r="B94" s="13" t="inlineStr">
        <is>
          <t>Lucro Real</t>
        </is>
      </c>
      <c r="C94" s="14" t="inlineStr">
        <is>
          <t>servico_anexo_iii; receita R$ 8.000.000,00/ano; folha CLT R$ 1.500.000,00; pró-labore R$ 120.000,00; outras desp. R$ 2.000.000,00; ano 2026; ISS 5%</t>
        </is>
      </c>
      <c r="D94" s="13" t="inlineStr">
        <is>
          <t>INSS patronal</t>
        </is>
      </c>
      <c r="E94" s="15" t="n">
        <v>441000</v>
      </c>
      <c r="F94" s="8" t="n"/>
      <c r="G94" s="15">
        <f>IF(F94="","",E94-F94)</f>
        <v/>
      </c>
      <c r="H94" s="13" t="n"/>
      <c r="I94" s="14" t="n"/>
    </row>
    <row r="95">
      <c r="A95" s="13" t="inlineStr">
        <is>
          <t>E6-LR</t>
        </is>
      </c>
      <c r="B95" s="13" t="inlineStr">
        <is>
          <t>Lucro Real</t>
        </is>
      </c>
      <c r="C95" s="14" t="inlineStr">
        <is>
          <t>servico_anexo_iii; receita R$ 8.000.000,00/ano; folha CLT R$ 1.500.000,00; pró-labore R$ 120.000,00; outras desp. R$ 2.000.000,00; ano 2026; ISS 5%</t>
        </is>
      </c>
      <c r="D95" s="13" t="inlineStr">
        <is>
          <t>IRPJ</t>
        </is>
      </c>
      <c r="E95" s="15" t="n">
        <v>645750</v>
      </c>
      <c r="F95" s="8" t="n"/>
      <c r="G95" s="15">
        <f>IF(F95="","",E95-F95)</f>
        <v/>
      </c>
      <c r="H95" s="13" t="n"/>
      <c r="I95" s="14" t="n"/>
    </row>
    <row r="96">
      <c r="A96" s="13" t="inlineStr">
        <is>
          <t>E6-LR</t>
        </is>
      </c>
      <c r="B96" s="13" t="inlineStr">
        <is>
          <t>Lucro Real</t>
        </is>
      </c>
      <c r="C96" s="14" t="inlineStr">
        <is>
          <t>servico_anexo_iii; receita R$ 8.000.000,00/ano; folha CLT R$ 1.500.000,00; pró-labore R$ 120.000,00; outras desp. R$ 2.000.000,00; ano 2026; ISS 5%</t>
        </is>
      </c>
      <c r="D96" s="13" t="inlineStr">
        <is>
          <t>CSLL</t>
        </is>
      </c>
      <c r="E96" s="15" t="n">
        <v>241110</v>
      </c>
      <c r="F96" s="8" t="n"/>
      <c r="G96" s="15">
        <f>IF(F96="","",E96-F96)</f>
        <v/>
      </c>
      <c r="H96" s="13" t="n"/>
      <c r="I96" s="14" t="n"/>
    </row>
    <row r="97">
      <c r="A97" s="16" t="inlineStr">
        <is>
          <t>E6-LR</t>
        </is>
      </c>
      <c r="B97" s="16" t="inlineStr">
        <is>
          <t>Lucro Real</t>
        </is>
      </c>
      <c r="C97" s="17" t="inlineStr">
        <is>
          <t>servico_anexo_iii; receita R$ 8.000.000,00/ano; folha CLT R$ 1.500.000,00; pró-labore R$ 120.000,00; outras desp. R$ 2.000.000,00; ano 2026; ISS 5%</t>
        </is>
      </c>
      <c r="D97" s="16" t="inlineStr">
        <is>
          <t>TOTAL</t>
        </is>
      </c>
      <c r="E97" s="18">
        <f>SUM(E91:E96)</f>
        <v/>
      </c>
      <c r="F97" s="12" t="n"/>
      <c r="G97" s="18">
        <f>IF(F97="","",E97-F97)</f>
        <v/>
      </c>
      <c r="H97" s="16" t="n"/>
      <c r="I97" s="17" t="n"/>
    </row>
    <row r="98">
      <c r="A98" s="5" t="inlineStr">
        <is>
          <t>E7-SN</t>
        </is>
      </c>
      <c r="B98" s="5" t="inlineStr">
        <is>
          <t>Simples Nacional</t>
        </is>
      </c>
      <c r="C98" s="6" t="inlineStr">
        <is>
          <t>servico_fator_r; receita R$ 1.200.000,00/ano; folha CLT R$ 150.000,00; pró-labore R$ 48.000,00; desp. creditáveis R$ 60.000,00; outras desp. R$ 300.000,00; ano 2026; ISS 5%</t>
        </is>
      </c>
      <c r="D98" s="5" t="inlineStr">
        <is>
          <t>DAS</t>
        </is>
      </c>
      <c r="E98" s="7" t="n">
        <v>228900</v>
      </c>
      <c r="F98" s="8" t="n"/>
      <c r="G98" s="7">
        <f>IF(F98="","",E98-F98)</f>
        <v/>
      </c>
      <c r="H98" s="5" t="n"/>
      <c r="I98" s="6" t="n"/>
    </row>
    <row r="99">
      <c r="A99" s="9" t="inlineStr">
        <is>
          <t>E7-SN</t>
        </is>
      </c>
      <c r="B99" s="9" t="inlineStr">
        <is>
          <t>Simples Nacional</t>
        </is>
      </c>
      <c r="C99" s="10" t="inlineStr">
        <is>
          <t>servico_fator_r; receita R$ 1.200.000,00/ano; folha CLT R$ 150.000,00; pró-labore R$ 48.000,00; desp. creditáveis R$ 60.000,00; outras desp. R$ 300.000,00; ano 2026; ISS 5%</t>
        </is>
      </c>
      <c r="D99" s="9" t="inlineStr">
        <is>
          <t>TOTAL</t>
        </is>
      </c>
      <c r="E99" s="11">
        <f>SUM(E98:E98)</f>
        <v/>
      </c>
      <c r="F99" s="12" t="n"/>
      <c r="G99" s="11">
        <f>IF(F99="","",E99-F99)</f>
        <v/>
      </c>
      <c r="H99" s="9" t="n"/>
      <c r="I99" s="10" t="n"/>
    </row>
    <row r="100">
      <c r="A100" s="13" t="inlineStr">
        <is>
          <t>E7-LP</t>
        </is>
      </c>
      <c r="B100" s="13" t="inlineStr">
        <is>
          <t>Lucro Presumido</t>
        </is>
      </c>
      <c r="C100" s="14" t="inlineStr">
        <is>
          <t>servico_fator_r; receita R$ 1.200.000,00/ano; folha CLT R$ 150.000,00; pró-labore R$ 48.000,00; desp. creditáveis R$ 60.000,00; outras desp. R$ 300.000,00; ano 2026; ISS 5%</t>
        </is>
      </c>
      <c r="D100" s="13" t="inlineStr">
        <is>
          <t>IRPJ</t>
        </is>
      </c>
      <c r="E100" s="15" t="n">
        <v>72000</v>
      </c>
      <c r="F100" s="8" t="n"/>
      <c r="G100" s="15">
        <f>IF(F100="","",E100-F100)</f>
        <v/>
      </c>
      <c r="H100" s="13" t="n"/>
      <c r="I100" s="14" t="n"/>
    </row>
    <row r="101">
      <c r="A101" s="13" t="inlineStr">
        <is>
          <t>E7-LP</t>
        </is>
      </c>
      <c r="B101" s="13" t="inlineStr">
        <is>
          <t>Lucro Presumido</t>
        </is>
      </c>
      <c r="C101" s="14" t="inlineStr">
        <is>
          <t>servico_fator_r; receita R$ 1.200.000,00/ano; folha CLT R$ 150.000,00; pró-labore R$ 48.000,00; desp. creditáveis R$ 60.000,00; outras desp. R$ 300.000,00; ano 2026; ISS 5%</t>
        </is>
      </c>
      <c r="D101" s="13" t="inlineStr">
        <is>
          <t>CSLL</t>
        </is>
      </c>
      <c r="E101" s="15" t="n">
        <v>34560</v>
      </c>
      <c r="F101" s="8" t="n"/>
      <c r="G101" s="15">
        <f>IF(F101="","",E101-F101)</f>
        <v/>
      </c>
      <c r="H101" s="13" t="n"/>
      <c r="I101" s="14" t="n"/>
    </row>
    <row r="102">
      <c r="A102" s="13" t="inlineStr">
        <is>
          <t>E7-LP</t>
        </is>
      </c>
      <c r="B102" s="13" t="inlineStr">
        <is>
          <t>Lucro Presumido</t>
        </is>
      </c>
      <c r="C102" s="14" t="inlineStr">
        <is>
          <t>servico_fator_r; receita R$ 1.200.000,00/ano; folha CLT R$ 150.000,00; pró-labore R$ 48.000,00; desp. creditáveis R$ 60.000,00; outras desp. R$ 300.000,00; ano 2026; ISS 5%</t>
        </is>
      </c>
      <c r="D102" s="13" t="inlineStr">
        <is>
          <t>PIS</t>
        </is>
      </c>
      <c r="E102" s="15" t="n">
        <v>7800</v>
      </c>
      <c r="F102" s="8" t="n"/>
      <c r="G102" s="15">
        <f>IF(F102="","",E102-F102)</f>
        <v/>
      </c>
      <c r="H102" s="13" t="n"/>
      <c r="I102" s="14" t="n"/>
    </row>
    <row r="103">
      <c r="A103" s="13" t="inlineStr">
        <is>
          <t>E7-LP</t>
        </is>
      </c>
      <c r="B103" s="13" t="inlineStr">
        <is>
          <t>Lucro Presumido</t>
        </is>
      </c>
      <c r="C103" s="14" t="inlineStr">
        <is>
          <t>servico_fator_r; receita R$ 1.200.000,00/ano; folha CLT R$ 150.000,00; pró-labore R$ 48.000,00; desp. creditáveis R$ 60.000,00; outras desp. R$ 300.000,00; ano 2026; ISS 5%</t>
        </is>
      </c>
      <c r="D103" s="13" t="inlineStr">
        <is>
          <t>Cofins</t>
        </is>
      </c>
      <c r="E103" s="15" t="n">
        <v>36000</v>
      </c>
      <c r="F103" s="8" t="n"/>
      <c r="G103" s="15">
        <f>IF(F103="","",E103-F103)</f>
        <v/>
      </c>
      <c r="H103" s="13" t="n"/>
      <c r="I103" s="14" t="n"/>
    </row>
    <row r="104">
      <c r="A104" s="13" t="inlineStr">
        <is>
          <t>E7-LP</t>
        </is>
      </c>
      <c r="B104" s="13" t="inlineStr">
        <is>
          <t>Lucro Presumido</t>
        </is>
      </c>
      <c r="C104" s="14" t="inlineStr">
        <is>
          <t>servico_fator_r; receita R$ 1.200.000,00/ano; folha CLT R$ 150.000,00; pró-labore R$ 48.000,00; desp. creditáveis R$ 60.000,00; outras desp. R$ 300.000,00; ano 2026; ISS 5%</t>
        </is>
      </c>
      <c r="D104" s="13" t="inlineStr">
        <is>
          <t>ISS</t>
        </is>
      </c>
      <c r="E104" s="15" t="n">
        <v>60000</v>
      </c>
      <c r="F104" s="8" t="n"/>
      <c r="G104" s="15">
        <f>IF(F104="","",E104-F104)</f>
        <v/>
      </c>
      <c r="H104" s="13" t="n"/>
      <c r="I104" s="14" t="n"/>
    </row>
    <row r="105">
      <c r="A105" s="13" t="inlineStr">
        <is>
          <t>E7-LP</t>
        </is>
      </c>
      <c r="B105" s="13" t="inlineStr">
        <is>
          <t>Lucro Presumido</t>
        </is>
      </c>
      <c r="C105" s="14" t="inlineStr">
        <is>
          <t>servico_fator_r; receita R$ 1.200.000,00/ano; folha CLT R$ 150.000,00; pró-labore R$ 48.000,00; desp. creditáveis R$ 60.000,00; outras desp. R$ 300.000,00; ano 2026; ISS 5%</t>
        </is>
      </c>
      <c r="D105" s="13" t="inlineStr">
        <is>
          <t>INSS patronal</t>
        </is>
      </c>
      <c r="E105" s="15" t="n">
        <v>51300</v>
      </c>
      <c r="F105" s="8" t="n"/>
      <c r="G105" s="15">
        <f>IF(F105="","",E105-F105)</f>
        <v/>
      </c>
      <c r="H105" s="13" t="n"/>
      <c r="I105" s="14" t="n"/>
    </row>
    <row r="106">
      <c r="A106" s="16" t="inlineStr">
        <is>
          <t>E7-LP</t>
        </is>
      </c>
      <c r="B106" s="16" t="inlineStr">
        <is>
          <t>Lucro Presumido</t>
        </is>
      </c>
      <c r="C106" s="17" t="inlineStr">
        <is>
          <t>servico_fator_r; receita R$ 1.200.000,00/ano; folha CLT R$ 150.000,00; pró-labore R$ 48.000,00; desp. creditáveis R$ 60.000,00; outras desp. R$ 300.000,00; ano 2026; ISS 5%</t>
        </is>
      </c>
      <c r="D106" s="16" t="inlineStr">
        <is>
          <t>TOTAL</t>
        </is>
      </c>
      <c r="E106" s="18">
        <f>SUM(E100:E105)</f>
        <v/>
      </c>
      <c r="F106" s="12" t="n"/>
      <c r="G106" s="18">
        <f>IF(F106="","",E106-F106)</f>
        <v/>
      </c>
      <c r="H106" s="16" t="n"/>
      <c r="I106" s="17" t="n"/>
    </row>
    <row r="107">
      <c r="A107" s="5" t="inlineStr">
        <is>
          <t>E7-LR</t>
        </is>
      </c>
      <c r="B107" s="5" t="inlineStr">
        <is>
          <t>Lucro Real</t>
        </is>
      </c>
      <c r="C107" s="6" t="inlineStr">
        <is>
          <t>servico_fator_r; receita R$ 1.200.000,00/ano; folha CLT R$ 150.000,00; pró-labore R$ 48.000,00; desp. creditáveis R$ 60.000,00; outras desp. R$ 300.000,00; ano 2026; ISS 5%</t>
        </is>
      </c>
      <c r="D107" s="5" t="inlineStr">
        <is>
          <t>PIS</t>
        </is>
      </c>
      <c r="E107" s="7" t="n">
        <v>18810</v>
      </c>
      <c r="F107" s="8" t="n"/>
      <c r="G107" s="7">
        <f>IF(F107="","",E107-F107)</f>
        <v/>
      </c>
      <c r="H107" s="5" t="n"/>
      <c r="I107" s="6" t="n"/>
    </row>
    <row r="108">
      <c r="A108" s="5" t="inlineStr">
        <is>
          <t>E7-LR</t>
        </is>
      </c>
      <c r="B108" s="5" t="inlineStr">
        <is>
          <t>Lucro Real</t>
        </is>
      </c>
      <c r="C108" s="6" t="inlineStr">
        <is>
          <t>servico_fator_r; receita R$ 1.200.000,00/ano; folha CLT R$ 150.000,00; pró-labore R$ 48.000,00; desp. creditáveis R$ 60.000,00; outras desp. R$ 300.000,00; ano 2026; ISS 5%</t>
        </is>
      </c>
      <c r="D108" s="5" t="inlineStr">
        <is>
          <t>Cofins</t>
        </is>
      </c>
      <c r="E108" s="7" t="n">
        <v>86640</v>
      </c>
      <c r="F108" s="8" t="n"/>
      <c r="G108" s="7">
        <f>IF(F108="","",E108-F108)</f>
        <v/>
      </c>
      <c r="H108" s="5" t="n"/>
      <c r="I108" s="6" t="n"/>
    </row>
    <row r="109">
      <c r="A109" s="5" t="inlineStr">
        <is>
          <t>E7-LR</t>
        </is>
      </c>
      <c r="B109" s="5" t="inlineStr">
        <is>
          <t>Lucro Real</t>
        </is>
      </c>
      <c r="C109" s="6" t="inlineStr">
        <is>
          <t>servico_fator_r; receita R$ 1.200.000,00/ano; folha CLT R$ 150.000,00; pró-labore R$ 48.000,00; desp. creditáveis R$ 60.000,00; outras desp. R$ 300.000,00; ano 2026; ISS 5%</t>
        </is>
      </c>
      <c r="D109" s="5" t="inlineStr">
        <is>
          <t>ISS</t>
        </is>
      </c>
      <c r="E109" s="7" t="n">
        <v>60000</v>
      </c>
      <c r="F109" s="8" t="n"/>
      <c r="G109" s="7">
        <f>IF(F109="","",E109-F109)</f>
        <v/>
      </c>
      <c r="H109" s="5" t="n"/>
      <c r="I109" s="6" t="n"/>
    </row>
    <row r="110">
      <c r="A110" s="5" t="inlineStr">
        <is>
          <t>E7-LR</t>
        </is>
      </c>
      <c r="B110" s="5" t="inlineStr">
        <is>
          <t>Lucro Real</t>
        </is>
      </c>
      <c r="C110" s="6" t="inlineStr">
        <is>
          <t>servico_fator_r; receita R$ 1.200.000,00/ano; folha CLT R$ 150.000,00; pró-labore R$ 48.000,00; desp. creditáveis R$ 60.000,00; outras desp. R$ 300.000,00; ano 2026; ISS 5%</t>
        </is>
      </c>
      <c r="D110" s="5" t="inlineStr">
        <is>
          <t>INSS patronal</t>
        </is>
      </c>
      <c r="E110" s="7" t="n">
        <v>51300</v>
      </c>
      <c r="F110" s="8" t="n"/>
      <c r="G110" s="7">
        <f>IF(F110="","",E110-F110)</f>
        <v/>
      </c>
      <c r="H110" s="5" t="n"/>
      <c r="I110" s="6" t="n"/>
    </row>
    <row r="111">
      <c r="A111" s="5" t="inlineStr">
        <is>
          <t>E7-LR</t>
        </is>
      </c>
      <c r="B111" s="5" t="inlineStr">
        <is>
          <t>Lucro Real</t>
        </is>
      </c>
      <c r="C111" s="6" t="inlineStr">
        <is>
          <t>servico_fator_r; receita R$ 1.200.000,00/ano; folha CLT R$ 150.000,00; pró-labore R$ 48.000,00; desp. creditáveis R$ 60.000,00; outras desp. R$ 300.000,00; ano 2026; ISS 5%</t>
        </is>
      </c>
      <c r="D111" s="5" t="inlineStr">
        <is>
          <t>IRPJ</t>
        </is>
      </c>
      <c r="E111" s="7" t="n">
        <v>79312.5</v>
      </c>
      <c r="F111" s="8" t="n"/>
      <c r="G111" s="7">
        <f>IF(F111="","",E111-F111)</f>
        <v/>
      </c>
      <c r="H111" s="5" t="n"/>
      <c r="I111" s="6" t="n"/>
    </row>
    <row r="112">
      <c r="A112" s="5" t="inlineStr">
        <is>
          <t>E7-LR</t>
        </is>
      </c>
      <c r="B112" s="5" t="inlineStr">
        <is>
          <t>Lucro Real</t>
        </is>
      </c>
      <c r="C112" s="6" t="inlineStr">
        <is>
          <t>servico_fator_r; receita R$ 1.200.000,00/ano; folha CLT R$ 150.000,00; pró-labore R$ 48.000,00; desp. creditáveis R$ 60.000,00; outras desp. R$ 300.000,00; ano 2026; ISS 5%</t>
        </is>
      </c>
      <c r="D112" s="5" t="inlineStr">
        <is>
          <t>CSLL</t>
        </is>
      </c>
      <c r="E112" s="7" t="n">
        <v>37192.5</v>
      </c>
      <c r="F112" s="8" t="n"/>
      <c r="G112" s="7">
        <f>IF(F112="","",E112-F112)</f>
        <v/>
      </c>
      <c r="H112" s="5" t="n"/>
      <c r="I112" s="6" t="n"/>
    </row>
    <row r="113">
      <c r="A113" s="9" t="inlineStr">
        <is>
          <t>E7-LR</t>
        </is>
      </c>
      <c r="B113" s="9" t="inlineStr">
        <is>
          <t>Lucro Real</t>
        </is>
      </c>
      <c r="C113" s="10" t="inlineStr">
        <is>
          <t>servico_fator_r; receita R$ 1.200.000,00/ano; folha CLT R$ 150.000,00; pró-labore R$ 48.000,00; desp. creditáveis R$ 60.000,00; outras desp. R$ 300.000,00; ano 2026; ISS 5%</t>
        </is>
      </c>
      <c r="D113" s="9" t="inlineStr">
        <is>
          <t>TOTAL</t>
        </is>
      </c>
      <c r="E113" s="11">
        <f>SUM(E107:E112)</f>
        <v/>
      </c>
      <c r="F113" s="12" t="n"/>
      <c r="G113" s="11">
        <f>IF(F113="","",E113-F113)</f>
        <v/>
      </c>
      <c r="H113" s="9" t="n"/>
      <c r="I113" s="10" t="n"/>
    </row>
    <row r="114">
      <c r="A114" s="13" t="inlineStr">
        <is>
          <t>PF1</t>
        </is>
      </c>
      <c r="B114" s="13" t="inlineStr">
        <is>
          <t>IRPF/INSS mensal (jan/2026)</t>
        </is>
      </c>
      <c r="C114" s="14" t="inlineStr">
        <is>
          <t>salário R$ 3.500,00; 0 dependente(s); CLT</t>
        </is>
      </c>
      <c r="D114" s="13" t="inlineStr">
        <is>
          <t>INSS empregado</t>
        </is>
      </c>
      <c r="E114" s="15" t="n">
        <v>308.6</v>
      </c>
      <c r="F114" s="8" t="n"/>
      <c r="G114" s="15">
        <f>IF(F114="","",E114-F114)</f>
        <v/>
      </c>
      <c r="H114" s="13" t="n"/>
      <c r="I114" s="14" t="n"/>
    </row>
    <row r="115">
      <c r="A115" s="13" t="inlineStr">
        <is>
          <t>PF1</t>
        </is>
      </c>
      <c r="B115" s="13" t="inlineStr">
        <is>
          <t>IRPF/INSS mensal (jan/2026)</t>
        </is>
      </c>
      <c r="C115" s="14" t="inlineStr">
        <is>
          <t>salário R$ 3.500,00; 0 dependente(s); CLT</t>
        </is>
      </c>
      <c r="D115" s="13" t="inlineStr">
        <is>
          <t>IRPF</t>
        </is>
      </c>
      <c r="E115" s="15" t="n">
        <v>0</v>
      </c>
      <c r="F115" s="8" t="n"/>
      <c r="G115" s="15">
        <f>IF(F115="","",E115-F115)</f>
        <v/>
      </c>
      <c r="H115" s="13" t="n"/>
      <c r="I115" s="14" t="n"/>
    </row>
    <row r="116">
      <c r="A116" s="16" t="inlineStr">
        <is>
          <t>PF1</t>
        </is>
      </c>
      <c r="B116" s="16" t="inlineStr">
        <is>
          <t>IRPF/INSS mensal (jan/2026)</t>
        </is>
      </c>
      <c r="C116" s="17" t="inlineStr">
        <is>
          <t>salário R$ 3.500,00; 0 dependente(s); CLT</t>
        </is>
      </c>
      <c r="D116" s="16" t="inlineStr">
        <is>
          <t>TOTAL</t>
        </is>
      </c>
      <c r="E116" s="18">
        <f>SUM(E114:E115)</f>
        <v/>
      </c>
      <c r="F116" s="12" t="n"/>
      <c r="G116" s="18">
        <f>IF(F116="","",E116-F116)</f>
        <v/>
      </c>
      <c r="H116" s="16" t="n"/>
      <c r="I116" s="17" t="n"/>
    </row>
    <row r="117">
      <c r="A117" s="5" t="inlineStr">
        <is>
          <t>PF2</t>
        </is>
      </c>
      <c r="B117" s="5" t="inlineStr">
        <is>
          <t>IRPF/INSS mensal (jan/2026)</t>
        </is>
      </c>
      <c r="C117" s="6" t="inlineStr">
        <is>
          <t>salário R$ 5.000,00; 0 dependente(s); CLT</t>
        </is>
      </c>
      <c r="D117" s="5" t="inlineStr">
        <is>
          <t>INSS empregado</t>
        </is>
      </c>
      <c r="E117" s="7" t="n">
        <v>501.51</v>
      </c>
      <c r="F117" s="8" t="n"/>
      <c r="G117" s="7">
        <f>IF(F117="","",E117-F117)</f>
        <v/>
      </c>
      <c r="H117" s="5" t="n"/>
      <c r="I117" s="6" t="n"/>
    </row>
    <row r="118">
      <c r="A118" s="5" t="inlineStr">
        <is>
          <t>PF2</t>
        </is>
      </c>
      <c r="B118" s="5" t="inlineStr">
        <is>
          <t>IRPF/INSS mensal (jan/2026)</t>
        </is>
      </c>
      <c r="C118" s="6" t="inlineStr">
        <is>
          <t>salário R$ 5.000,00; 0 dependente(s); CLT</t>
        </is>
      </c>
      <c r="D118" s="5" t="inlineStr">
        <is>
          <t>IRPF</t>
        </is>
      </c>
      <c r="E118" s="7" t="n">
        <v>0</v>
      </c>
      <c r="F118" s="8" t="n"/>
      <c r="G118" s="7">
        <f>IF(F118="","",E118-F118)</f>
        <v/>
      </c>
      <c r="H118" s="5" t="n"/>
      <c r="I118" s="6" t="n"/>
    </row>
    <row r="119">
      <c r="A119" s="9" t="inlineStr">
        <is>
          <t>PF2</t>
        </is>
      </c>
      <c r="B119" s="9" t="inlineStr">
        <is>
          <t>IRPF/INSS mensal (jan/2026)</t>
        </is>
      </c>
      <c r="C119" s="10" t="inlineStr">
        <is>
          <t>salário R$ 5.000,00; 0 dependente(s); CLT</t>
        </is>
      </c>
      <c r="D119" s="9" t="inlineStr">
        <is>
          <t>TOTAL</t>
        </is>
      </c>
      <c r="E119" s="11">
        <f>SUM(E117:E118)</f>
        <v/>
      </c>
      <c r="F119" s="12" t="n"/>
      <c r="G119" s="11">
        <f>IF(F119="","",E119-F119)</f>
        <v/>
      </c>
      <c r="H119" s="9" t="n"/>
      <c r="I119" s="10" t="n"/>
    </row>
    <row r="120">
      <c r="A120" s="13" t="inlineStr">
        <is>
          <t>PF3</t>
        </is>
      </c>
      <c r="B120" s="13" t="inlineStr">
        <is>
          <t>IRPF/INSS mensal (jan/2026)</t>
        </is>
      </c>
      <c r="C120" s="14" t="inlineStr">
        <is>
          <t>salário R$ 5.900,00; 0 dependente(s); CLT</t>
        </is>
      </c>
      <c r="D120" s="13" t="inlineStr">
        <is>
          <t>INSS empregado</t>
        </is>
      </c>
      <c r="E120" s="15" t="n">
        <v>627.51</v>
      </c>
      <c r="F120" s="8" t="n"/>
      <c r="G120" s="15">
        <f>IF(F120="","",E120-F120)</f>
        <v/>
      </c>
      <c r="H120" s="13" t="n"/>
      <c r="I120" s="14" t="n"/>
    </row>
    <row r="121">
      <c r="A121" s="13" t="inlineStr">
        <is>
          <t>PF3</t>
        </is>
      </c>
      <c r="B121" s="13" t="inlineStr">
        <is>
          <t>IRPF/INSS mensal (jan/2026)</t>
        </is>
      </c>
      <c r="C121" s="14" t="inlineStr">
        <is>
          <t>salário R$ 5.900,00; 0 dependente(s); CLT</t>
        </is>
      </c>
      <c r="D121" s="13" t="inlineStr">
        <is>
          <t>IRPF</t>
        </is>
      </c>
      <c r="E121" s="15" t="n">
        <v>348.14</v>
      </c>
      <c r="F121" s="8" t="n"/>
      <c r="G121" s="15">
        <f>IF(F121="","",E121-F121)</f>
        <v/>
      </c>
      <c r="H121" s="13" t="n"/>
      <c r="I121" s="14" t="n"/>
    </row>
    <row r="122">
      <c r="A122" s="16" t="inlineStr">
        <is>
          <t>PF3</t>
        </is>
      </c>
      <c r="B122" s="16" t="inlineStr">
        <is>
          <t>IRPF/INSS mensal (jan/2026)</t>
        </is>
      </c>
      <c r="C122" s="17" t="inlineStr">
        <is>
          <t>salário R$ 5.900,00; 0 dependente(s); CLT</t>
        </is>
      </c>
      <c r="D122" s="16" t="inlineStr">
        <is>
          <t>TOTAL</t>
        </is>
      </c>
      <c r="E122" s="18">
        <f>SUM(E120:E121)</f>
        <v/>
      </c>
      <c r="F122" s="12" t="n"/>
      <c r="G122" s="18">
        <f>IF(F122="","",E122-F122)</f>
        <v/>
      </c>
      <c r="H122" s="16" t="n"/>
      <c r="I122" s="17" t="n"/>
    </row>
    <row r="123">
      <c r="A123" s="5" t="inlineStr">
        <is>
          <t>PF4</t>
        </is>
      </c>
      <c r="B123" s="5" t="inlineStr">
        <is>
          <t>IRPF/INSS mensal (jan/2026)</t>
        </is>
      </c>
      <c r="C123" s="6" t="inlineStr">
        <is>
          <t>salário R$ 7.000,00; 1 dependente(s); CLT</t>
        </is>
      </c>
      <c r="D123" s="5" t="inlineStr">
        <is>
          <t>INSS empregado</t>
        </is>
      </c>
      <c r="E123" s="7" t="n">
        <v>781.51</v>
      </c>
      <c r="F123" s="8" t="n"/>
      <c r="G123" s="7">
        <f>IF(F123="","",E123-F123)</f>
        <v/>
      </c>
      <c r="H123" s="5" t="n"/>
      <c r="I123" s="6" t="n"/>
    </row>
    <row r="124">
      <c r="A124" s="5" t="inlineStr">
        <is>
          <t>PF4</t>
        </is>
      </c>
      <c r="B124" s="5" t="inlineStr">
        <is>
          <t>IRPF/INSS mensal (jan/2026)</t>
        </is>
      </c>
      <c r="C124" s="6" t="inlineStr">
        <is>
          <t>salário R$ 7.000,00; 1 dependente(s); CLT</t>
        </is>
      </c>
      <c r="D124" s="5" t="inlineStr">
        <is>
          <t>IRPF</t>
        </is>
      </c>
      <c r="E124" s="7" t="n">
        <v>702.61</v>
      </c>
      <c r="F124" s="8" t="n"/>
      <c r="G124" s="7">
        <f>IF(F124="","",E124-F124)</f>
        <v/>
      </c>
      <c r="H124" s="5" t="n"/>
      <c r="I124" s="6" t="n"/>
    </row>
    <row r="125">
      <c r="A125" s="9" t="inlineStr">
        <is>
          <t>PF4</t>
        </is>
      </c>
      <c r="B125" s="9" t="inlineStr">
        <is>
          <t>IRPF/INSS mensal (jan/2026)</t>
        </is>
      </c>
      <c r="C125" s="10" t="inlineStr">
        <is>
          <t>salário R$ 7.000,00; 1 dependente(s); CLT</t>
        </is>
      </c>
      <c r="D125" s="9" t="inlineStr">
        <is>
          <t>TOTAL</t>
        </is>
      </c>
      <c r="E125" s="11">
        <f>SUM(E123:E124)</f>
        <v/>
      </c>
      <c r="F125" s="12" t="n"/>
      <c r="G125" s="11">
        <f>IF(F125="","",E125-F125)</f>
        <v/>
      </c>
      <c r="H125" s="9" t="n"/>
      <c r="I125" s="10" t="n"/>
    </row>
    <row r="126">
      <c r="A126" s="13" t="inlineStr">
        <is>
          <t>PF5</t>
        </is>
      </c>
      <c r="B126" s="13" t="inlineStr">
        <is>
          <t>IRPF/INSS mensal (jan/2026)</t>
        </is>
      </c>
      <c r="C126" s="14" t="inlineStr">
        <is>
          <t>salário R$ 12.000,00; 2 dependente(s); CLT</t>
        </is>
      </c>
      <c r="D126" s="13" t="inlineStr">
        <is>
          <t>INSS empregado</t>
        </is>
      </c>
      <c r="E126" s="15" t="n">
        <v>988.09</v>
      </c>
      <c r="F126" s="8" t="n"/>
      <c r="G126" s="15">
        <f>IF(F126="","",E126-F126)</f>
        <v/>
      </c>
      <c r="H126" s="13" t="n"/>
      <c r="I126" s="14" t="n"/>
    </row>
    <row r="127">
      <c r="A127" s="13" t="inlineStr">
        <is>
          <t>PF5</t>
        </is>
      </c>
      <c r="B127" s="13" t="inlineStr">
        <is>
          <t>IRPF/INSS mensal (jan/2026)</t>
        </is>
      </c>
      <c r="C127" s="14" t="inlineStr">
        <is>
          <t>salário R$ 12.000,00; 2 dependente(s); CLT</t>
        </is>
      </c>
      <c r="D127" s="13" t="inlineStr">
        <is>
          <t>IRPF</t>
        </is>
      </c>
      <c r="E127" s="15" t="n">
        <v>2015.27</v>
      </c>
      <c r="F127" s="8" t="n"/>
      <c r="G127" s="15">
        <f>IF(F127="","",E127-F127)</f>
        <v/>
      </c>
      <c r="H127" s="13" t="n"/>
      <c r="I127" s="14" t="n"/>
    </row>
    <row r="128">
      <c r="A128" s="16" t="inlineStr">
        <is>
          <t>PF5</t>
        </is>
      </c>
      <c r="B128" s="16" t="inlineStr">
        <is>
          <t>IRPF/INSS mensal (jan/2026)</t>
        </is>
      </c>
      <c r="C128" s="17" t="inlineStr">
        <is>
          <t>salário R$ 12.000,00; 2 dependente(s); CLT</t>
        </is>
      </c>
      <c r="D128" s="16" t="inlineStr">
        <is>
          <t>TOTAL</t>
        </is>
      </c>
      <c r="E128" s="18">
        <f>SUM(E126:E127)</f>
        <v/>
      </c>
      <c r="F128" s="12" t="n"/>
      <c r="G128" s="18">
        <f>IF(F128="","",E128-F128)</f>
        <v/>
      </c>
      <c r="H128" s="16" t="n"/>
      <c r="I128" s="17" t="n"/>
    </row>
    <row r="129">
      <c r="A129" s="5" t="inlineStr">
        <is>
          <t>SOC1-A</t>
        </is>
      </c>
      <c r="B129" s="5" t="inlineStr">
        <is>
          <t>Pró-labore x dividendos (presumido)</t>
        </is>
      </c>
      <c r="C129" s="6" t="inlineStr">
        <is>
          <t>retirada R$ 15.000,00/mês; 100% pró-labore</t>
        </is>
      </c>
      <c r="D129" s="5" t="inlineStr">
        <is>
          <t>INSS do sócio (11%)</t>
        </is>
      </c>
      <c r="E129" s="7" t="n">
        <v>932.3099999999999</v>
      </c>
      <c r="F129" s="8" t="n"/>
      <c r="G129" s="7">
        <f>IF(F129="","",E129-F129)</f>
        <v/>
      </c>
      <c r="H129" s="5" t="n"/>
      <c r="I129" s="6" t="n"/>
    </row>
    <row r="130">
      <c r="A130" s="5" t="inlineStr">
        <is>
          <t>SOC1-A</t>
        </is>
      </c>
      <c r="B130" s="5" t="inlineStr">
        <is>
          <t>Pró-labore x dividendos (presumido)</t>
        </is>
      </c>
      <c r="C130" s="6" t="inlineStr">
        <is>
          <t>retirada R$ 15.000,00/mês; 100% pró-labore</t>
        </is>
      </c>
      <c r="D130" s="5" t="inlineStr">
        <is>
          <t>IRPF sobre pró-labore</t>
        </is>
      </c>
      <c r="E130" s="7" t="n">
        <v>2959.88</v>
      </c>
      <c r="F130" s="8" t="n"/>
      <c r="G130" s="7">
        <f>IF(F130="","",E130-F130)</f>
        <v/>
      </c>
      <c r="H130" s="5" t="n"/>
      <c r="I130" s="6" t="n"/>
    </row>
    <row r="131">
      <c r="A131" s="5" t="inlineStr">
        <is>
          <t>SOC1-A</t>
        </is>
      </c>
      <c r="B131" s="5" t="inlineStr">
        <is>
          <t>Pró-labore x dividendos (presumido)</t>
        </is>
      </c>
      <c r="C131" s="6" t="inlineStr">
        <is>
          <t>retirada R$ 15.000,00/mês; 100% pró-labore</t>
        </is>
      </c>
      <c r="D131" s="5" t="inlineStr">
        <is>
          <t>INSS patronal (20%)</t>
        </is>
      </c>
      <c r="E131" s="7" t="n">
        <v>3000</v>
      </c>
      <c r="F131" s="8" t="n"/>
      <c r="G131" s="7">
        <f>IF(F131="","",E131-F131)</f>
        <v/>
      </c>
      <c r="H131" s="5" t="n"/>
      <c r="I131" s="6" t="n"/>
    </row>
    <row r="132">
      <c r="A132" s="9" t="inlineStr">
        <is>
          <t>SOC1-A</t>
        </is>
      </c>
      <c r="B132" s="9" t="inlineStr">
        <is>
          <t>Pró-labore x dividendos (presumido)</t>
        </is>
      </c>
      <c r="C132" s="10" t="inlineStr">
        <is>
          <t>retirada R$ 15.000,00/mês; 100% pró-labore</t>
        </is>
      </c>
      <c r="D132" s="9" t="inlineStr">
        <is>
          <t>TOTAL</t>
        </is>
      </c>
      <c r="E132" s="11">
        <f>SUM(E129:E131)</f>
        <v/>
      </c>
      <c r="F132" s="12" t="n"/>
      <c r="G132" s="11">
        <f>IF(F132="","",E132-F132)</f>
        <v/>
      </c>
      <c r="H132" s="9" t="n"/>
      <c r="I132" s="10" t="n"/>
    </row>
    <row r="133">
      <c r="A133" s="13" t="inlineStr">
        <is>
          <t>SOC1-B</t>
        </is>
      </c>
      <c r="B133" s="13" t="inlineStr">
        <is>
          <t>Pró-labore x dividendos (presumido)</t>
        </is>
      </c>
      <c r="C133" s="14" t="inlineStr">
        <is>
          <t>retirada R$ 15.000,00/mês; Pró-labore de R$ 1.621,00 + dividendos</t>
        </is>
      </c>
      <c r="D133" s="13" t="inlineStr">
        <is>
          <t>INSS do sócio (11%)</t>
        </is>
      </c>
      <c r="E133" s="15" t="n">
        <v>178.31</v>
      </c>
      <c r="F133" s="8" t="n"/>
      <c r="G133" s="15">
        <f>IF(F133="","",E133-F133)</f>
        <v/>
      </c>
      <c r="H133" s="13" t="n"/>
      <c r="I133" s="14" t="n"/>
    </row>
    <row r="134">
      <c r="A134" s="13" t="inlineStr">
        <is>
          <t>SOC1-B</t>
        </is>
      </c>
      <c r="B134" s="13" t="inlineStr">
        <is>
          <t>Pró-labore x dividendos (presumido)</t>
        </is>
      </c>
      <c r="C134" s="14" t="inlineStr">
        <is>
          <t>retirada R$ 15.000,00/mês; Pró-labore de R$ 1.621,00 + dividendos</t>
        </is>
      </c>
      <c r="D134" s="13" t="inlineStr">
        <is>
          <t>IRPF sobre pró-labore</t>
        </is>
      </c>
      <c r="E134" s="15" t="n">
        <v>0</v>
      </c>
      <c r="F134" s="8" t="n"/>
      <c r="G134" s="15">
        <f>IF(F134="","",E134-F134)</f>
        <v/>
      </c>
      <c r="H134" s="13" t="n"/>
      <c r="I134" s="14" t="n"/>
    </row>
    <row r="135">
      <c r="A135" s="13" t="inlineStr">
        <is>
          <t>SOC1-B</t>
        </is>
      </c>
      <c r="B135" s="13" t="inlineStr">
        <is>
          <t>Pró-labore x dividendos (presumido)</t>
        </is>
      </c>
      <c r="C135" s="14" t="inlineStr">
        <is>
          <t>retirada R$ 15.000,00/mês; Pró-labore de R$ 1.621,00 + dividendos</t>
        </is>
      </c>
      <c r="D135" s="13" t="inlineStr">
        <is>
          <t>INSS patronal (20%)</t>
        </is>
      </c>
      <c r="E135" s="15" t="n">
        <v>324.2</v>
      </c>
      <c r="F135" s="8" t="n"/>
      <c r="G135" s="15">
        <f>IF(F135="","",E135-F135)</f>
        <v/>
      </c>
      <c r="H135" s="13" t="n"/>
      <c r="I135" s="14" t="n"/>
    </row>
    <row r="136">
      <c r="A136" s="16" t="inlineStr">
        <is>
          <t>SOC1-B</t>
        </is>
      </c>
      <c r="B136" s="16" t="inlineStr">
        <is>
          <t>Pró-labore x dividendos (presumido)</t>
        </is>
      </c>
      <c r="C136" s="17" t="inlineStr">
        <is>
          <t>retirada R$ 15.000,00/mês; Pró-labore de R$ 1.621,00 + dividendos</t>
        </is>
      </c>
      <c r="D136" s="16" t="inlineStr">
        <is>
          <t>TOTAL</t>
        </is>
      </c>
      <c r="E136" s="18">
        <f>SUM(E133:E135)</f>
        <v/>
      </c>
      <c r="F136" s="12" t="n"/>
      <c r="G136" s="18">
        <f>IF(F136="","",E136-F136)</f>
        <v/>
      </c>
      <c r="H136" s="16" t="n"/>
      <c r="I136" s="17" t="n"/>
    </row>
    <row r="137">
      <c r="A137" s="5" t="inlineStr">
        <is>
          <t>SOC2-A</t>
        </is>
      </c>
      <c r="B137" s="5" t="inlineStr">
        <is>
          <t>Pró-labore x dividendos (real)</t>
        </is>
      </c>
      <c r="C137" s="6" t="inlineStr">
        <is>
          <t>retirada R$ 30.000,00/mês; 100% pró-labore</t>
        </is>
      </c>
      <c r="D137" s="5" t="inlineStr">
        <is>
          <t>INSS do sócio (11%)</t>
        </is>
      </c>
      <c r="E137" s="7" t="n">
        <v>932.3099999999999</v>
      </c>
      <c r="F137" s="8" t="n"/>
      <c r="G137" s="7">
        <f>IF(F137="","",E137-F137)</f>
        <v/>
      </c>
      <c r="H137" s="5" t="n"/>
      <c r="I137" s="6" t="n"/>
    </row>
    <row r="138">
      <c r="A138" s="5" t="inlineStr">
        <is>
          <t>SOC2-A</t>
        </is>
      </c>
      <c r="B138" s="5" t="inlineStr">
        <is>
          <t>Pró-labore x dividendos (real)</t>
        </is>
      </c>
      <c r="C138" s="6" t="inlineStr">
        <is>
          <t>retirada R$ 30.000,00/mês; 100% pró-labore</t>
        </is>
      </c>
      <c r="D138" s="5" t="inlineStr">
        <is>
          <t>IRPF sobre pró-labore</t>
        </is>
      </c>
      <c r="E138" s="7" t="n">
        <v>7084.88</v>
      </c>
      <c r="F138" s="8" t="n"/>
      <c r="G138" s="7">
        <f>IF(F138="","",E138-F138)</f>
        <v/>
      </c>
      <c r="H138" s="5" t="n"/>
      <c r="I138" s="6" t="n"/>
    </row>
    <row r="139">
      <c r="A139" s="5" t="inlineStr">
        <is>
          <t>SOC2-A</t>
        </is>
      </c>
      <c r="B139" s="5" t="inlineStr">
        <is>
          <t>Pró-labore x dividendos (real)</t>
        </is>
      </c>
      <c r="C139" s="6" t="inlineStr">
        <is>
          <t>retirada R$ 30.000,00/mês; 100% pró-labore</t>
        </is>
      </c>
      <c r="D139" s="5" t="inlineStr">
        <is>
          <t>INSS patronal (20%)</t>
        </is>
      </c>
      <c r="E139" s="7" t="n">
        <v>6000</v>
      </c>
      <c r="F139" s="8" t="n"/>
      <c r="G139" s="7">
        <f>IF(F139="","",E139-F139)</f>
        <v/>
      </c>
      <c r="H139" s="5" t="n"/>
      <c r="I139" s="6" t="n"/>
    </row>
    <row r="140">
      <c r="A140" s="5" t="inlineStr">
        <is>
          <t>SOC2-A</t>
        </is>
      </c>
      <c r="B140" s="5" t="inlineStr">
        <is>
          <t>Pró-labore x dividendos (real)</t>
        </is>
      </c>
      <c r="C140" s="6" t="inlineStr">
        <is>
          <t>retirada R$ 30.000,00/mês; 100% pró-labore</t>
        </is>
      </c>
      <c r="D140" s="5" t="inlineStr">
        <is>
          <t>Economia de IRPJ/CSLL (Lucro Real)</t>
        </is>
      </c>
      <c r="E140" s="7" t="n">
        <v>-12240</v>
      </c>
      <c r="F140" s="8" t="n"/>
      <c r="G140" s="7">
        <f>IF(F140="","",E140-F140)</f>
        <v/>
      </c>
      <c r="H140" s="5" t="n"/>
      <c r="I140" s="6" t="n"/>
    </row>
    <row r="141">
      <c r="A141" s="9" t="inlineStr">
        <is>
          <t>SOC2-A</t>
        </is>
      </c>
      <c r="B141" s="9" t="inlineStr">
        <is>
          <t>Pró-labore x dividendos (real)</t>
        </is>
      </c>
      <c r="C141" s="10" t="inlineStr">
        <is>
          <t>retirada R$ 30.000,00/mês; 100% pró-labore</t>
        </is>
      </c>
      <c r="D141" s="9" t="inlineStr">
        <is>
          <t>TOTAL</t>
        </is>
      </c>
      <c r="E141" s="11">
        <f>SUM(E137:E140)</f>
        <v/>
      </c>
      <c r="F141" s="12" t="n"/>
      <c r="G141" s="11">
        <f>IF(F141="","",E141-F141)</f>
        <v/>
      </c>
      <c r="H141" s="9" t="n"/>
      <c r="I141" s="10" t="n"/>
    </row>
    <row r="142">
      <c r="A142" s="13" t="inlineStr">
        <is>
          <t>SOC2-B</t>
        </is>
      </c>
      <c r="B142" s="13" t="inlineStr">
        <is>
          <t>Pró-labore x dividendos (real)</t>
        </is>
      </c>
      <c r="C142" s="14" t="inlineStr">
        <is>
          <t>retirada R$ 30.000,00/mês; Pró-labore de R$ 1.621,00 + dividendos</t>
        </is>
      </c>
      <c r="D142" s="13" t="inlineStr">
        <is>
          <t>INSS do sócio (11%)</t>
        </is>
      </c>
      <c r="E142" s="15" t="n">
        <v>178.31</v>
      </c>
      <c r="F142" s="8" t="n"/>
      <c r="G142" s="15">
        <f>IF(F142="","",E142-F142)</f>
        <v/>
      </c>
      <c r="H142" s="13" t="n"/>
      <c r="I142" s="14" t="n"/>
    </row>
    <row r="143">
      <c r="A143" s="13" t="inlineStr">
        <is>
          <t>SOC2-B</t>
        </is>
      </c>
      <c r="B143" s="13" t="inlineStr">
        <is>
          <t>Pró-labore x dividendos (real)</t>
        </is>
      </c>
      <c r="C143" s="14" t="inlineStr">
        <is>
          <t>retirada R$ 30.000,00/mês; Pró-labore de R$ 1.621,00 + dividendos</t>
        </is>
      </c>
      <c r="D143" s="13" t="inlineStr">
        <is>
          <t>IRPF sobre pró-labore</t>
        </is>
      </c>
      <c r="E143" s="15" t="n">
        <v>0</v>
      </c>
      <c r="F143" s="8" t="n"/>
      <c r="G143" s="15">
        <f>IF(F143="","",E143-F143)</f>
        <v/>
      </c>
      <c r="H143" s="13" t="n"/>
      <c r="I143" s="14" t="n"/>
    </row>
    <row r="144">
      <c r="A144" s="13" t="inlineStr">
        <is>
          <t>SOC2-B</t>
        </is>
      </c>
      <c r="B144" s="13" t="inlineStr">
        <is>
          <t>Pró-labore x dividendos (real)</t>
        </is>
      </c>
      <c r="C144" s="14" t="inlineStr">
        <is>
          <t>retirada R$ 30.000,00/mês; Pró-labore de R$ 1.621,00 + dividendos</t>
        </is>
      </c>
      <c r="D144" s="13" t="inlineStr">
        <is>
          <t>INSS patronal (20%)</t>
        </is>
      </c>
      <c r="E144" s="15" t="n">
        <v>324.2</v>
      </c>
      <c r="F144" s="8" t="n"/>
      <c r="G144" s="15">
        <f>IF(F144="","",E144-F144)</f>
        <v/>
      </c>
      <c r="H144" s="13" t="n"/>
      <c r="I144" s="14" t="n"/>
    </row>
    <row r="145">
      <c r="A145" s="13" t="inlineStr">
        <is>
          <t>SOC2-B</t>
        </is>
      </c>
      <c r="B145" s="13" t="inlineStr">
        <is>
          <t>Pró-labore x dividendos (real)</t>
        </is>
      </c>
      <c r="C145" s="14" t="inlineStr">
        <is>
          <t>retirada R$ 30.000,00/mês; Pró-labore de R$ 1.621,00 + dividendos</t>
        </is>
      </c>
      <c r="D145" s="13" t="inlineStr">
        <is>
          <t>Economia de IRPJ/CSLL (Lucro Real)</t>
        </is>
      </c>
      <c r="E145" s="15" t="n">
        <v>-661.37</v>
      </c>
      <c r="F145" s="8" t="n"/>
      <c r="G145" s="15">
        <f>IF(F145="","",E145-F145)</f>
        <v/>
      </c>
      <c r="H145" s="13" t="n"/>
      <c r="I145" s="14" t="n"/>
    </row>
    <row r="146">
      <c r="A146" s="16" t="inlineStr">
        <is>
          <t>SOC2-B</t>
        </is>
      </c>
      <c r="B146" s="16" t="inlineStr">
        <is>
          <t>Pró-labore x dividendos (real)</t>
        </is>
      </c>
      <c r="C146" s="17" t="inlineStr">
        <is>
          <t>retirada R$ 30.000,00/mês; Pró-labore de R$ 1.621,00 + dividendos</t>
        </is>
      </c>
      <c r="D146" s="16" t="inlineStr">
        <is>
          <t>TOTAL</t>
        </is>
      </c>
      <c r="E146" s="18">
        <f>SUM(E142:E145)</f>
        <v/>
      </c>
      <c r="F146" s="12" t="n"/>
      <c r="G146" s="18">
        <f>IF(F146="","",E146-F146)</f>
        <v/>
      </c>
      <c r="H146" s="16" t="n"/>
      <c r="I146" s="17" t="n"/>
    </row>
    <row r="147">
      <c r="A147" s="5" t="inlineStr">
        <is>
          <t>SOC3-A</t>
        </is>
      </c>
      <c r="B147" s="5" t="inlineStr">
        <is>
          <t>Pró-labore x dividendos (presumido)</t>
        </is>
      </c>
      <c r="C147" s="6" t="inlineStr">
        <is>
          <t>retirada R$ 80.000,00/mês; 100% pró-labore</t>
        </is>
      </c>
      <c r="D147" s="5" t="inlineStr">
        <is>
          <t>INSS do sócio (11%)</t>
        </is>
      </c>
      <c r="E147" s="7" t="n">
        <v>932.3099999999999</v>
      </c>
      <c r="F147" s="8" t="n"/>
      <c r="G147" s="7">
        <f>IF(F147="","",E147-F147)</f>
        <v/>
      </c>
      <c r="H147" s="5" t="n"/>
      <c r="I147" s="6" t="n"/>
    </row>
    <row r="148">
      <c r="A148" s="5" t="inlineStr">
        <is>
          <t>SOC3-A</t>
        </is>
      </c>
      <c r="B148" s="5" t="inlineStr">
        <is>
          <t>Pró-labore x dividendos (presumido)</t>
        </is>
      </c>
      <c r="C148" s="6" t="inlineStr">
        <is>
          <t>retirada R$ 80.000,00/mês; 100% pró-labore</t>
        </is>
      </c>
      <c r="D148" s="5" t="inlineStr">
        <is>
          <t>IRPF sobre pró-labore</t>
        </is>
      </c>
      <c r="E148" s="7" t="n">
        <v>20834.88</v>
      </c>
      <c r="F148" s="8" t="n"/>
      <c r="G148" s="7">
        <f>IF(F148="","",E148-F148)</f>
        <v/>
      </c>
      <c r="H148" s="5" t="n"/>
      <c r="I148" s="6" t="n"/>
    </row>
    <row r="149">
      <c r="A149" s="5" t="inlineStr">
        <is>
          <t>SOC3-A</t>
        </is>
      </c>
      <c r="B149" s="5" t="inlineStr">
        <is>
          <t>Pró-labore x dividendos (presumido)</t>
        </is>
      </c>
      <c r="C149" s="6" t="inlineStr">
        <is>
          <t>retirada R$ 80.000,00/mês; 100% pró-labore</t>
        </is>
      </c>
      <c r="D149" s="5" t="inlineStr">
        <is>
          <t>INSS patronal (20%)</t>
        </is>
      </c>
      <c r="E149" s="7" t="n">
        <v>16000</v>
      </c>
      <c r="F149" s="8" t="n"/>
      <c r="G149" s="7">
        <f>IF(F149="","",E149-F149)</f>
        <v/>
      </c>
      <c r="H149" s="5" t="n"/>
      <c r="I149" s="6" t="n"/>
    </row>
    <row r="150">
      <c r="A150" s="9" t="inlineStr">
        <is>
          <t>SOC3-A</t>
        </is>
      </c>
      <c r="B150" s="9" t="inlineStr">
        <is>
          <t>Pró-labore x dividendos (presumido)</t>
        </is>
      </c>
      <c r="C150" s="10" t="inlineStr">
        <is>
          <t>retirada R$ 80.000,00/mês; 100% pró-labore</t>
        </is>
      </c>
      <c r="D150" s="9" t="inlineStr">
        <is>
          <t>TOTAL</t>
        </is>
      </c>
      <c r="E150" s="11">
        <f>SUM(E147:E149)</f>
        <v/>
      </c>
      <c r="F150" s="12" t="n"/>
      <c r="G150" s="11">
        <f>IF(F150="","",E150-F150)</f>
        <v/>
      </c>
      <c r="H150" s="9" t="n"/>
      <c r="I150" s="10" t="n"/>
    </row>
    <row r="151">
      <c r="A151" s="13" t="inlineStr">
        <is>
          <t>SOC3-B</t>
        </is>
      </c>
      <c r="B151" s="13" t="inlineStr">
        <is>
          <t>Pró-labore x dividendos (presumido)</t>
        </is>
      </c>
      <c r="C151" s="14" t="inlineStr">
        <is>
          <t>retirada R$ 80.000,00/mês; Pró-labore de R$ 1.621,00 + dividendos</t>
        </is>
      </c>
      <c r="D151" s="13" t="inlineStr">
        <is>
          <t>INSS do sócio (11%)</t>
        </is>
      </c>
      <c r="E151" s="15" t="n">
        <v>178.31</v>
      </c>
      <c r="F151" s="8" t="n"/>
      <c r="G151" s="15">
        <f>IF(F151="","",E151-F151)</f>
        <v/>
      </c>
      <c r="H151" s="13" t="n"/>
      <c r="I151" s="14" t="n"/>
    </row>
    <row r="152">
      <c r="A152" s="13" t="inlineStr">
        <is>
          <t>SOC3-B</t>
        </is>
      </c>
      <c r="B152" s="13" t="inlineStr">
        <is>
          <t>Pró-labore x dividendos (presumido)</t>
        </is>
      </c>
      <c r="C152" s="14" t="inlineStr">
        <is>
          <t>retirada R$ 80.000,00/mês; Pró-labore de R$ 1.621,00 + dividendos</t>
        </is>
      </c>
      <c r="D152" s="13" t="inlineStr">
        <is>
          <t>IRPF sobre pró-labore</t>
        </is>
      </c>
      <c r="E152" s="15" t="n">
        <v>0</v>
      </c>
      <c r="F152" s="8" t="n"/>
      <c r="G152" s="15">
        <f>IF(F152="","",E152-F152)</f>
        <v/>
      </c>
      <c r="H152" s="13" t="n"/>
      <c r="I152" s="14" t="n"/>
    </row>
    <row r="153">
      <c r="A153" s="13" t="inlineStr">
        <is>
          <t>SOC3-B</t>
        </is>
      </c>
      <c r="B153" s="13" t="inlineStr">
        <is>
          <t>Pró-labore x dividendos (presumido)</t>
        </is>
      </c>
      <c r="C153" s="14" t="inlineStr">
        <is>
          <t>retirada R$ 80.000,00/mês; Pró-labore de R$ 1.621,00 + dividendos</t>
        </is>
      </c>
      <c r="D153" s="13" t="inlineStr">
        <is>
          <t>INSS patronal (20%)</t>
        </is>
      </c>
      <c r="E153" s="15" t="n">
        <v>324.2</v>
      </c>
      <c r="F153" s="8" t="n"/>
      <c r="G153" s="15">
        <f>IF(F153="","",E153-F153)</f>
        <v/>
      </c>
      <c r="H153" s="13" t="n"/>
      <c r="I153" s="14" t="n"/>
    </row>
    <row r="154">
      <c r="A154" s="13" t="inlineStr">
        <is>
          <t>SOC3-B</t>
        </is>
      </c>
      <c r="B154" s="13" t="inlineStr">
        <is>
          <t>Pró-labore x dividendos (presumido)</t>
        </is>
      </c>
      <c r="C154" s="14" t="inlineStr">
        <is>
          <t>retirada R$ 80.000,00/mês; Pró-labore de R$ 1.621,00 + dividendos</t>
        </is>
      </c>
      <c r="D154" s="13" t="inlineStr">
        <is>
          <t>IRRF 10% sobre dividendos</t>
        </is>
      </c>
      <c r="E154" s="15" t="n">
        <v>7837.9</v>
      </c>
      <c r="F154" s="8" t="n"/>
      <c r="G154" s="15">
        <f>IF(F154="","",E154-F154)</f>
        <v/>
      </c>
      <c r="H154" s="13" t="n"/>
      <c r="I154" s="14" t="n"/>
    </row>
    <row r="155">
      <c r="A155" s="16" t="inlineStr">
        <is>
          <t>SOC3-B</t>
        </is>
      </c>
      <c r="B155" s="16" t="inlineStr">
        <is>
          <t>Pró-labore x dividendos (presumido)</t>
        </is>
      </c>
      <c r="C155" s="17" t="inlineStr">
        <is>
          <t>retirada R$ 80.000,00/mês; Pró-labore de R$ 1.621,00 + dividendos</t>
        </is>
      </c>
      <c r="D155" s="16" t="inlineStr">
        <is>
          <t>TOTAL</t>
        </is>
      </c>
      <c r="E155" s="18">
        <f>SUM(E151:E154)</f>
        <v/>
      </c>
      <c r="F155" s="12" t="n"/>
      <c r="G155" s="18">
        <f>IF(F155="","",E155-F155)</f>
        <v/>
      </c>
      <c r="H155" s="16" t="n"/>
      <c r="I155" s="17" t="n"/>
    </row>
    <row r="156">
      <c r="A156" s="5" t="inlineStr">
        <is>
          <t>RT1-2025</t>
        </is>
      </c>
      <c r="B156" s="5" t="inlineStr">
        <is>
          <t>Reforma - 2025</t>
        </is>
      </c>
      <c r="C156" s="6" t="inlineStr">
        <is>
          <t>Comércio no Presumido; receita R$ 2.000.000,00</t>
        </is>
      </c>
      <c r="D156" s="5" t="inlineStr">
        <is>
          <t>PIS/Cofins</t>
        </is>
      </c>
      <c r="E156" s="7" t="n">
        <v>73000</v>
      </c>
      <c r="F156" s="8" t="n"/>
      <c r="G156" s="7">
        <f>IF(F156="","",E156-F156)</f>
        <v/>
      </c>
      <c r="H156" s="5" t="n"/>
      <c r="I156" s="6" t="n"/>
    </row>
    <row r="157">
      <c r="A157" s="5" t="inlineStr">
        <is>
          <t>RT1-2025</t>
        </is>
      </c>
      <c r="B157" s="5" t="inlineStr">
        <is>
          <t>Reforma - 2025</t>
        </is>
      </c>
      <c r="C157" s="6" t="inlineStr">
        <is>
          <t>Comércio no Presumido; receita R$ 2.000.000,00</t>
        </is>
      </c>
      <c r="D157" s="5" t="inlineStr">
        <is>
          <t>ICMS</t>
        </is>
      </c>
      <c r="E157" s="7" t="n">
        <v>144000</v>
      </c>
      <c r="F157" s="8" t="n"/>
      <c r="G157" s="7">
        <f>IF(F157="","",E157-F157)</f>
        <v/>
      </c>
      <c r="H157" s="5" t="n"/>
      <c r="I157" s="6" t="n"/>
    </row>
    <row r="158">
      <c r="A158" s="9" t="inlineStr">
        <is>
          <t>RT1-2025</t>
        </is>
      </c>
      <c r="B158" s="9" t="inlineStr">
        <is>
          <t>Reforma - 2025</t>
        </is>
      </c>
      <c r="C158" s="10" t="inlineStr">
        <is>
          <t>Comércio no Presumido; receita R$ 2.000.000,00</t>
        </is>
      </c>
      <c r="D158" s="9" t="inlineStr">
        <is>
          <t>TOTAL</t>
        </is>
      </c>
      <c r="E158" s="11">
        <f>SUM(E156:E157)</f>
        <v/>
      </c>
      <c r="F158" s="12" t="n"/>
      <c r="G158" s="11">
        <f>IF(F158="","",E158-F158)</f>
        <v/>
      </c>
      <c r="H158" s="9" t="n"/>
      <c r="I158" s="10" t="n"/>
    </row>
    <row r="159">
      <c r="A159" s="13" t="inlineStr">
        <is>
          <t>RT1-2027</t>
        </is>
      </c>
      <c r="B159" s="13" t="inlineStr">
        <is>
          <t>Reforma - 2027</t>
        </is>
      </c>
      <c r="C159" s="14" t="inlineStr">
        <is>
          <t>Comércio no Presumido; receita R$ 2.000.000,00</t>
        </is>
      </c>
      <c r="D159" s="13" t="inlineStr">
        <is>
          <t>ICMS</t>
        </is>
      </c>
      <c r="E159" s="15" t="n">
        <v>144000</v>
      </c>
      <c r="F159" s="8" t="n"/>
      <c r="G159" s="15">
        <f>IF(F159="","",E159-F159)</f>
        <v/>
      </c>
      <c r="H159" s="13" t="n"/>
      <c r="I159" s="14" t="n"/>
    </row>
    <row r="160">
      <c r="A160" s="13" t="inlineStr">
        <is>
          <t>RT1-2027</t>
        </is>
      </c>
      <c r="B160" s="13" t="inlineStr">
        <is>
          <t>Reforma - 2027</t>
        </is>
      </c>
      <c r="C160" s="14" t="inlineStr">
        <is>
          <t>Comércio no Presumido; receita R$ 2.000.000,00</t>
        </is>
      </c>
      <c r="D160" s="13" t="inlineStr">
        <is>
          <t>CBS</t>
        </is>
      </c>
      <c r="E160" s="15" t="n">
        <v>60378</v>
      </c>
      <c r="F160" s="8" t="n"/>
      <c r="G160" s="15">
        <f>IF(F160="","",E160-F160)</f>
        <v/>
      </c>
      <c r="H160" s="13" t="n"/>
      <c r="I160" s="14" t="n"/>
    </row>
    <row r="161">
      <c r="A161" s="13" t="inlineStr">
        <is>
          <t>RT1-2027</t>
        </is>
      </c>
      <c r="B161" s="13" t="inlineStr">
        <is>
          <t>Reforma - 2027</t>
        </is>
      </c>
      <c r="C161" s="14" t="inlineStr">
        <is>
          <t>Comércio no Presumido; receita R$ 2.000.000,00</t>
        </is>
      </c>
      <c r="D161" s="13" t="inlineStr">
        <is>
          <t>IBS</t>
        </is>
      </c>
      <c r="E161" s="15" t="n">
        <v>694</v>
      </c>
      <c r="F161" s="8" t="n"/>
      <c r="G161" s="15">
        <f>IF(F161="","",E161-F161)</f>
        <v/>
      </c>
      <c r="H161" s="13" t="n"/>
      <c r="I161" s="14" t="n"/>
    </row>
    <row r="162">
      <c r="A162" s="16" t="inlineStr">
        <is>
          <t>RT1-2027</t>
        </is>
      </c>
      <c r="B162" s="16" t="inlineStr">
        <is>
          <t>Reforma - 2027</t>
        </is>
      </c>
      <c r="C162" s="17" t="inlineStr">
        <is>
          <t>Comércio no Presumido; receita R$ 2.000.000,00</t>
        </is>
      </c>
      <c r="D162" s="16" t="inlineStr">
        <is>
          <t>TOTAL</t>
        </is>
      </c>
      <c r="E162" s="18">
        <f>SUM(E159:E161)</f>
        <v/>
      </c>
      <c r="F162" s="12" t="n"/>
      <c r="G162" s="18">
        <f>IF(F162="","",E162-F162)</f>
        <v/>
      </c>
      <c r="H162" s="16" t="n"/>
      <c r="I162" s="17" t="n"/>
    </row>
    <row r="163">
      <c r="A163" s="5" t="inlineStr">
        <is>
          <t>RT1-2029</t>
        </is>
      </c>
      <c r="B163" s="5" t="inlineStr">
        <is>
          <t>Reforma - 2029</t>
        </is>
      </c>
      <c r="C163" s="6" t="inlineStr">
        <is>
          <t>Comércio no Presumido; receita R$ 2.000.000,00</t>
        </is>
      </c>
      <c r="D163" s="5" t="inlineStr">
        <is>
          <t>ICMS</t>
        </is>
      </c>
      <c r="E163" s="7" t="n">
        <v>129600</v>
      </c>
      <c r="F163" s="8" t="n"/>
      <c r="G163" s="7">
        <f>IF(F163="","",E163-F163)</f>
        <v/>
      </c>
      <c r="H163" s="5" t="n"/>
      <c r="I163" s="6" t="n"/>
    </row>
    <row r="164">
      <c r="A164" s="5" t="inlineStr">
        <is>
          <t>RT1-2029</t>
        </is>
      </c>
      <c r="B164" s="5" t="inlineStr">
        <is>
          <t>Reforma - 2029</t>
        </is>
      </c>
      <c r="C164" s="6" t="inlineStr">
        <is>
          <t>Comércio no Presumido; receita R$ 2.000.000,00</t>
        </is>
      </c>
      <c r="D164" s="5" t="inlineStr">
        <is>
          <t>CBS</t>
        </is>
      </c>
      <c r="E164" s="7" t="n">
        <v>61072</v>
      </c>
      <c r="F164" s="8" t="n"/>
      <c r="G164" s="7">
        <f>IF(F164="","",E164-F164)</f>
        <v/>
      </c>
      <c r="H164" s="5" t="n"/>
      <c r="I164" s="6" t="n"/>
    </row>
    <row r="165">
      <c r="A165" s="5" t="inlineStr">
        <is>
          <t>RT1-2029</t>
        </is>
      </c>
      <c r="B165" s="5" t="inlineStr">
        <is>
          <t>Reforma - 2029</t>
        </is>
      </c>
      <c r="C165" s="6" t="inlineStr">
        <is>
          <t>Comércio no Presumido; receita R$ 2.000.000,00</t>
        </is>
      </c>
      <c r="D165" s="5" t="inlineStr">
        <is>
          <t>IBS</t>
        </is>
      </c>
      <c r="E165" s="7" t="n">
        <v>12283.8</v>
      </c>
      <c r="F165" s="8" t="n"/>
      <c r="G165" s="7">
        <f>IF(F165="","",E165-F165)</f>
        <v/>
      </c>
      <c r="H165" s="5" t="n"/>
      <c r="I165" s="6" t="n"/>
    </row>
    <row r="166">
      <c r="A166" s="9" t="inlineStr">
        <is>
          <t>RT1-2029</t>
        </is>
      </c>
      <c r="B166" s="9" t="inlineStr">
        <is>
          <t>Reforma - 2029</t>
        </is>
      </c>
      <c r="C166" s="10" t="inlineStr">
        <is>
          <t>Comércio no Presumido; receita R$ 2.000.000,00</t>
        </is>
      </c>
      <c r="D166" s="9" t="inlineStr">
        <is>
          <t>TOTAL</t>
        </is>
      </c>
      <c r="E166" s="11">
        <f>SUM(E163:E165)</f>
        <v/>
      </c>
      <c r="F166" s="12" t="n"/>
      <c r="G166" s="11">
        <f>IF(F166="","",E166-F166)</f>
        <v/>
      </c>
      <c r="H166" s="9" t="n"/>
      <c r="I166" s="10" t="n"/>
    </row>
    <row r="167">
      <c r="A167" s="13" t="inlineStr">
        <is>
          <t>RT1-2033</t>
        </is>
      </c>
      <c r="B167" s="13" t="inlineStr">
        <is>
          <t>Reforma - 2033</t>
        </is>
      </c>
      <c r="C167" s="14" t="inlineStr">
        <is>
          <t>Comércio no Presumido; receita R$ 2.000.000,00</t>
        </is>
      </c>
      <c r="D167" s="13" t="inlineStr">
        <is>
          <t>CBS</t>
        </is>
      </c>
      <c r="E167" s="15" t="n">
        <v>61072</v>
      </c>
      <c r="F167" s="8" t="n"/>
      <c r="G167" s="15">
        <f>IF(F167="","",E167-F167)</f>
        <v/>
      </c>
      <c r="H167" s="13" t="n"/>
      <c r="I167" s="14" t="n"/>
    </row>
    <row r="168">
      <c r="A168" s="13" t="inlineStr">
        <is>
          <t>RT1-2033</t>
        </is>
      </c>
      <c r="B168" s="13" t="inlineStr">
        <is>
          <t>Reforma - 2033</t>
        </is>
      </c>
      <c r="C168" s="14" t="inlineStr">
        <is>
          <t>Comércio no Presumido; receita R$ 2.000.000,00</t>
        </is>
      </c>
      <c r="D168" s="13" t="inlineStr">
        <is>
          <t>IBS</t>
        </is>
      </c>
      <c r="E168" s="15" t="n">
        <v>122838</v>
      </c>
      <c r="F168" s="8" t="n"/>
      <c r="G168" s="15">
        <f>IF(F168="","",E168-F168)</f>
        <v/>
      </c>
      <c r="H168" s="13" t="n"/>
      <c r="I168" s="14" t="n"/>
    </row>
    <row r="169">
      <c r="A169" s="16" t="inlineStr">
        <is>
          <t>RT1-2033</t>
        </is>
      </c>
      <c r="B169" s="16" t="inlineStr">
        <is>
          <t>Reforma - 2033</t>
        </is>
      </c>
      <c r="C169" s="17" t="inlineStr">
        <is>
          <t>Comércio no Presumido; receita R$ 2.000.000,00</t>
        </is>
      </c>
      <c r="D169" s="16" t="inlineStr">
        <is>
          <t>TOTAL</t>
        </is>
      </c>
      <c r="E169" s="18">
        <f>SUM(E167:E168)</f>
        <v/>
      </c>
      <c r="F169" s="12" t="n"/>
      <c r="G169" s="18">
        <f>IF(F169="","",E169-F169)</f>
        <v/>
      </c>
      <c r="H169" s="16" t="n"/>
      <c r="I169" s="17" t="n"/>
    </row>
    <row r="170">
      <c r="A170" s="5" t="inlineStr">
        <is>
          <t>RT2-2025</t>
        </is>
      </c>
      <c r="B170" s="5" t="inlineStr">
        <is>
          <t>Reforma - 2025</t>
        </is>
      </c>
      <c r="C170" s="6" t="inlineStr">
        <is>
          <t>Serviços (consultoria) no Presumido; receita R$ 1.200.000,00</t>
        </is>
      </c>
      <c r="D170" s="5" t="inlineStr">
        <is>
          <t>PIS/Cofins</t>
        </is>
      </c>
      <c r="E170" s="7" t="n">
        <v>43800</v>
      </c>
      <c r="F170" s="8" t="n"/>
      <c r="G170" s="7">
        <f>IF(F170="","",E170-F170)</f>
        <v/>
      </c>
      <c r="H170" s="5" t="n"/>
      <c r="I170" s="6" t="n"/>
    </row>
    <row r="171">
      <c r="A171" s="5" t="inlineStr">
        <is>
          <t>RT2-2025</t>
        </is>
      </c>
      <c r="B171" s="5" t="inlineStr">
        <is>
          <t>Reforma - 2025</t>
        </is>
      </c>
      <c r="C171" s="6" t="inlineStr">
        <is>
          <t>Serviços (consultoria) no Presumido; receita R$ 1.200.000,00</t>
        </is>
      </c>
      <c r="D171" s="5" t="inlineStr">
        <is>
          <t>ISS</t>
        </is>
      </c>
      <c r="E171" s="7" t="n">
        <v>60000</v>
      </c>
      <c r="F171" s="8" t="n"/>
      <c r="G171" s="7">
        <f>IF(F171="","",E171-F171)</f>
        <v/>
      </c>
      <c r="H171" s="5" t="n"/>
      <c r="I171" s="6" t="n"/>
    </row>
    <row r="172">
      <c r="A172" s="9" t="inlineStr">
        <is>
          <t>RT2-2025</t>
        </is>
      </c>
      <c r="B172" s="9" t="inlineStr">
        <is>
          <t>Reforma - 2025</t>
        </is>
      </c>
      <c r="C172" s="10" t="inlineStr">
        <is>
          <t>Serviços (consultoria) no Presumido; receita R$ 1.200.000,00</t>
        </is>
      </c>
      <c r="D172" s="9" t="inlineStr">
        <is>
          <t>TOTAL</t>
        </is>
      </c>
      <c r="E172" s="11">
        <f>SUM(E170:E171)</f>
        <v/>
      </c>
      <c r="F172" s="12" t="n"/>
      <c r="G172" s="11">
        <f>IF(F172="","",E172-F172)</f>
        <v/>
      </c>
      <c r="H172" s="9" t="n"/>
      <c r="I172" s="10" t="n"/>
    </row>
    <row r="173">
      <c r="A173" s="13" t="inlineStr">
        <is>
          <t>RT2-2027</t>
        </is>
      </c>
      <c r="B173" s="13" t="inlineStr">
        <is>
          <t>Reforma - 2027</t>
        </is>
      </c>
      <c r="C173" s="14" t="inlineStr">
        <is>
          <t>Serviços (consultoria) no Presumido; receita R$ 1.200.000,00</t>
        </is>
      </c>
      <c r="D173" s="13" t="inlineStr">
        <is>
          <t>ISS</t>
        </is>
      </c>
      <c r="E173" s="15" t="n">
        <v>60000</v>
      </c>
      <c r="F173" s="8" t="n"/>
      <c r="G173" s="15">
        <f>IF(F173="","",E173-F173)</f>
        <v/>
      </c>
      <c r="H173" s="13" t="n"/>
      <c r="I173" s="14" t="n"/>
    </row>
    <row r="174">
      <c r="A174" s="13" t="inlineStr">
        <is>
          <t>RT2-2027</t>
        </is>
      </c>
      <c r="B174" s="13" t="inlineStr">
        <is>
          <t>Reforma - 2027</t>
        </is>
      </c>
      <c r="C174" s="14" t="inlineStr">
        <is>
          <t>Serviços (consultoria) no Presumido; receita R$ 1.200.000,00</t>
        </is>
      </c>
      <c r="D174" s="13" t="inlineStr">
        <is>
          <t>CBS</t>
        </is>
      </c>
      <c r="E174" s="15" t="n">
        <v>85895.10000000001</v>
      </c>
      <c r="F174" s="8" t="n"/>
      <c r="G174" s="15">
        <f>IF(F174="","",E174-F174)</f>
        <v/>
      </c>
      <c r="H174" s="13" t="n"/>
      <c r="I174" s="14" t="n"/>
    </row>
    <row r="175">
      <c r="A175" s="13" t="inlineStr">
        <is>
          <t>RT2-2027</t>
        </is>
      </c>
      <c r="B175" s="13" t="inlineStr">
        <is>
          <t>Reforma - 2027</t>
        </is>
      </c>
      <c r="C175" s="14" t="inlineStr">
        <is>
          <t>Serviços (consultoria) no Presumido; receita R$ 1.200.000,00</t>
        </is>
      </c>
      <c r="D175" s="13" t="inlineStr">
        <is>
          <t>IBS</t>
        </is>
      </c>
      <c r="E175" s="15" t="n">
        <v>987.3</v>
      </c>
      <c r="F175" s="8" t="n"/>
      <c r="G175" s="15">
        <f>IF(F175="","",E175-F175)</f>
        <v/>
      </c>
      <c r="H175" s="13" t="n"/>
      <c r="I175" s="14" t="n"/>
    </row>
    <row r="176">
      <c r="A176" s="16" t="inlineStr">
        <is>
          <t>RT2-2027</t>
        </is>
      </c>
      <c r="B176" s="16" t="inlineStr">
        <is>
          <t>Reforma - 2027</t>
        </is>
      </c>
      <c r="C176" s="17" t="inlineStr">
        <is>
          <t>Serviços (consultoria) no Presumido; receita R$ 1.200.000,00</t>
        </is>
      </c>
      <c r="D176" s="16" t="inlineStr">
        <is>
          <t>TOTAL</t>
        </is>
      </c>
      <c r="E176" s="18">
        <f>SUM(E173:E175)</f>
        <v/>
      </c>
      <c r="F176" s="12" t="n"/>
      <c r="G176" s="18">
        <f>IF(F176="","",E176-F176)</f>
        <v/>
      </c>
      <c r="H176" s="16" t="n"/>
      <c r="I176" s="17" t="n"/>
    </row>
    <row r="177">
      <c r="A177" s="5" t="inlineStr">
        <is>
          <t>RT2-2029</t>
        </is>
      </c>
      <c r="B177" s="5" t="inlineStr">
        <is>
          <t>Reforma - 2029</t>
        </is>
      </c>
      <c r="C177" s="6" t="inlineStr">
        <is>
          <t>Serviços (consultoria) no Presumido; receita R$ 1.200.000,00</t>
        </is>
      </c>
      <c r="D177" s="5" t="inlineStr">
        <is>
          <t>ISS</t>
        </is>
      </c>
      <c r="E177" s="7" t="n">
        <v>54000</v>
      </c>
      <c r="F177" s="8" t="n"/>
      <c r="G177" s="7">
        <f>IF(F177="","",E177-F177)</f>
        <v/>
      </c>
      <c r="H177" s="5" t="n"/>
      <c r="I177" s="6" t="n"/>
    </row>
    <row r="178">
      <c r="A178" s="5" t="inlineStr">
        <is>
          <t>RT2-2029</t>
        </is>
      </c>
      <c r="B178" s="5" t="inlineStr">
        <is>
          <t>Reforma - 2029</t>
        </is>
      </c>
      <c r="C178" s="6" t="inlineStr">
        <is>
          <t>Serviços (consultoria) no Presumido; receita R$ 1.200.000,00</t>
        </is>
      </c>
      <c r="D178" s="5" t="inlineStr">
        <is>
          <t>CBS</t>
        </is>
      </c>
      <c r="E178" s="7" t="n">
        <v>86882.39999999999</v>
      </c>
      <c r="F178" s="8" t="n"/>
      <c r="G178" s="7">
        <f>IF(F178="","",E178-F178)</f>
        <v/>
      </c>
      <c r="H178" s="5" t="n"/>
      <c r="I178" s="6" t="n"/>
    </row>
    <row r="179">
      <c r="A179" s="5" t="inlineStr">
        <is>
          <t>RT2-2029</t>
        </is>
      </c>
      <c r="B179" s="5" t="inlineStr">
        <is>
          <t>Reforma - 2029</t>
        </is>
      </c>
      <c r="C179" s="6" t="inlineStr">
        <is>
          <t>Serviços (consultoria) no Presumido; receita R$ 1.200.000,00</t>
        </is>
      </c>
      <c r="D179" s="5" t="inlineStr">
        <is>
          <t>IBS</t>
        </is>
      </c>
      <c r="E179" s="7" t="n">
        <v>17475.21</v>
      </c>
      <c r="F179" s="8" t="n"/>
      <c r="G179" s="7">
        <f>IF(F179="","",E179-F179)</f>
        <v/>
      </c>
      <c r="H179" s="5" t="n"/>
      <c r="I179" s="6" t="n"/>
    </row>
    <row r="180">
      <c r="A180" s="9" t="inlineStr">
        <is>
          <t>RT2-2029</t>
        </is>
      </c>
      <c r="B180" s="9" t="inlineStr">
        <is>
          <t>Reforma - 2029</t>
        </is>
      </c>
      <c r="C180" s="10" t="inlineStr">
        <is>
          <t>Serviços (consultoria) no Presumido; receita R$ 1.200.000,00</t>
        </is>
      </c>
      <c r="D180" s="9" t="inlineStr">
        <is>
          <t>TOTAL</t>
        </is>
      </c>
      <c r="E180" s="11">
        <f>SUM(E177:E179)</f>
        <v/>
      </c>
      <c r="F180" s="12" t="n"/>
      <c r="G180" s="11">
        <f>IF(F180="","",E180-F180)</f>
        <v/>
      </c>
      <c r="H180" s="9" t="n"/>
      <c r="I180" s="10" t="n"/>
    </row>
    <row r="181">
      <c r="A181" s="13" t="inlineStr">
        <is>
          <t>RT2-2033</t>
        </is>
      </c>
      <c r="B181" s="13" t="inlineStr">
        <is>
          <t>Reforma - 2033</t>
        </is>
      </c>
      <c r="C181" s="14" t="inlineStr">
        <is>
          <t>Serviços (consultoria) no Presumido; receita R$ 1.200.000,00</t>
        </is>
      </c>
      <c r="D181" s="13" t="inlineStr">
        <is>
          <t>CBS</t>
        </is>
      </c>
      <c r="E181" s="15" t="n">
        <v>86882.39999999999</v>
      </c>
      <c r="F181" s="8" t="n"/>
      <c r="G181" s="15">
        <f>IF(F181="","",E181-F181)</f>
        <v/>
      </c>
      <c r="H181" s="13" t="n"/>
      <c r="I181" s="14" t="n"/>
    </row>
    <row r="182">
      <c r="A182" s="13" t="inlineStr">
        <is>
          <t>RT2-2033</t>
        </is>
      </c>
      <c r="B182" s="13" t="inlineStr">
        <is>
          <t>Reforma - 2033</t>
        </is>
      </c>
      <c r="C182" s="14" t="inlineStr">
        <is>
          <t>Serviços (consultoria) no Presumido; receita R$ 1.200.000,00</t>
        </is>
      </c>
      <c r="D182" s="13" t="inlineStr">
        <is>
          <t>IBS</t>
        </is>
      </c>
      <c r="E182" s="15" t="n">
        <v>174752.1</v>
      </c>
      <c r="F182" s="8" t="n"/>
      <c r="G182" s="15">
        <f>IF(F182="","",E182-F182)</f>
        <v/>
      </c>
      <c r="H182" s="13" t="n"/>
      <c r="I182" s="14" t="n"/>
    </row>
    <row r="183">
      <c r="A183" s="16" t="inlineStr">
        <is>
          <t>RT2-2033</t>
        </is>
      </c>
      <c r="B183" s="16" t="inlineStr">
        <is>
          <t>Reforma - 2033</t>
        </is>
      </c>
      <c r="C183" s="17" t="inlineStr">
        <is>
          <t>Serviços (consultoria) no Presumido; receita R$ 1.200.000,00</t>
        </is>
      </c>
      <c r="D183" s="16" t="inlineStr">
        <is>
          <t>TOTAL</t>
        </is>
      </c>
      <c r="E183" s="18">
        <f>SUM(E181:E182)</f>
        <v/>
      </c>
      <c r="F183" s="12" t="n"/>
      <c r="G183" s="18">
        <f>IF(F183="","",E183-F183)</f>
        <v/>
      </c>
      <c r="H183" s="16" t="n"/>
      <c r="I183" s="17" t="n"/>
    </row>
    <row r="184">
      <c r="A184" s="5" t="inlineStr">
        <is>
          <t>RT3-2025</t>
        </is>
      </c>
      <c r="B184" s="5" t="inlineStr">
        <is>
          <t>Reforma - 2025</t>
        </is>
      </c>
      <c r="C184" s="6" t="inlineStr">
        <is>
          <t>Escritório contábil (redução de 30%); receita R$ 600.000,00</t>
        </is>
      </c>
      <c r="D184" s="5" t="inlineStr">
        <is>
          <t>PIS/Cofins</t>
        </is>
      </c>
      <c r="E184" s="7" t="n">
        <v>21900</v>
      </c>
      <c r="F184" s="8" t="n"/>
      <c r="G184" s="7">
        <f>IF(F184="","",E184-F184)</f>
        <v/>
      </c>
      <c r="H184" s="5" t="n"/>
      <c r="I184" s="6" t="n"/>
    </row>
    <row r="185">
      <c r="A185" s="5" t="inlineStr">
        <is>
          <t>RT3-2025</t>
        </is>
      </c>
      <c r="B185" s="5" t="inlineStr">
        <is>
          <t>Reforma - 2025</t>
        </is>
      </c>
      <c r="C185" s="6" t="inlineStr">
        <is>
          <t>Escritório contábil (redução de 30%); receita R$ 600.000,00</t>
        </is>
      </c>
      <c r="D185" s="5" t="inlineStr">
        <is>
          <t>ISS</t>
        </is>
      </c>
      <c r="E185" s="7" t="n">
        <v>30000</v>
      </c>
      <c r="F185" s="8" t="n"/>
      <c r="G185" s="7">
        <f>IF(F185="","",E185-F185)</f>
        <v/>
      </c>
      <c r="H185" s="5" t="n"/>
      <c r="I185" s="6" t="n"/>
    </row>
    <row r="186">
      <c r="A186" s="9" t="inlineStr">
        <is>
          <t>RT3-2025</t>
        </is>
      </c>
      <c r="B186" s="9" t="inlineStr">
        <is>
          <t>Reforma - 2025</t>
        </is>
      </c>
      <c r="C186" s="10" t="inlineStr">
        <is>
          <t>Escritório contábil (redução de 30%); receita R$ 600.000,00</t>
        </is>
      </c>
      <c r="D186" s="9" t="inlineStr">
        <is>
          <t>TOTAL</t>
        </is>
      </c>
      <c r="E186" s="11">
        <f>SUM(E184:E185)</f>
        <v/>
      </c>
      <c r="F186" s="12" t="n"/>
      <c r="G186" s="11">
        <f>IF(F186="","",E186-F186)</f>
        <v/>
      </c>
      <c r="H186" s="9" t="n"/>
      <c r="I186" s="10" t="n"/>
    </row>
    <row r="187">
      <c r="A187" s="13" t="inlineStr">
        <is>
          <t>RT3-2027</t>
        </is>
      </c>
      <c r="B187" s="13" t="inlineStr">
        <is>
          <t>Reforma - 2027</t>
        </is>
      </c>
      <c r="C187" s="14" t="inlineStr">
        <is>
          <t>Escritório contábil (redução de 30%); receita R$ 600.000,00</t>
        </is>
      </c>
      <c r="D187" s="13" t="inlineStr">
        <is>
          <t>ISS</t>
        </is>
      </c>
      <c r="E187" s="15" t="n">
        <v>30000</v>
      </c>
      <c r="F187" s="8" t="n"/>
      <c r="G187" s="15">
        <f>IF(F187="","",E187-F187)</f>
        <v/>
      </c>
      <c r="H187" s="13" t="n"/>
      <c r="I187" s="14" t="n"/>
    </row>
    <row r="188">
      <c r="A188" s="13" t="inlineStr">
        <is>
          <t>RT3-2027</t>
        </is>
      </c>
      <c r="B188" s="13" t="inlineStr">
        <is>
          <t>Reforma - 2027</t>
        </is>
      </c>
      <c r="C188" s="14" t="inlineStr">
        <is>
          <t>Escritório contábil (redução de 30%); receita R$ 600.000,00</t>
        </is>
      </c>
      <c r="D188" s="13" t="inlineStr">
        <is>
          <t>CBS</t>
        </is>
      </c>
      <c r="E188" s="15" t="n">
        <v>28642.14</v>
      </c>
      <c r="F188" s="8" t="n"/>
      <c r="G188" s="15">
        <f>IF(F188="","",E188-F188)</f>
        <v/>
      </c>
      <c r="H188" s="13" t="n"/>
      <c r="I188" s="14" t="n"/>
    </row>
    <row r="189">
      <c r="A189" s="13" t="inlineStr">
        <is>
          <t>RT3-2027</t>
        </is>
      </c>
      <c r="B189" s="13" t="inlineStr">
        <is>
          <t>Reforma - 2027</t>
        </is>
      </c>
      <c r="C189" s="14" t="inlineStr">
        <is>
          <t>Escritório contábil (redução de 30%); receita R$ 600.000,00</t>
        </is>
      </c>
      <c r="D189" s="13" t="inlineStr">
        <is>
          <t>IBS</t>
        </is>
      </c>
      <c r="E189" s="15" t="n">
        <v>329.22</v>
      </c>
      <c r="F189" s="8" t="n"/>
      <c r="G189" s="15">
        <f>IF(F189="","",E189-F189)</f>
        <v/>
      </c>
      <c r="H189" s="13" t="n"/>
      <c r="I189" s="14" t="n"/>
    </row>
    <row r="190">
      <c r="A190" s="16" t="inlineStr">
        <is>
          <t>RT3-2027</t>
        </is>
      </c>
      <c r="B190" s="16" t="inlineStr">
        <is>
          <t>Reforma - 2027</t>
        </is>
      </c>
      <c r="C190" s="17" t="inlineStr">
        <is>
          <t>Escritório contábil (redução de 30%); receita R$ 600.000,00</t>
        </is>
      </c>
      <c r="D190" s="16" t="inlineStr">
        <is>
          <t>TOTAL</t>
        </is>
      </c>
      <c r="E190" s="18">
        <f>SUM(E187:E189)</f>
        <v/>
      </c>
      <c r="F190" s="12" t="n"/>
      <c r="G190" s="18">
        <f>IF(F190="","",E190-F190)</f>
        <v/>
      </c>
      <c r="H190" s="16" t="n"/>
      <c r="I190" s="17" t="n"/>
    </row>
    <row r="191">
      <c r="A191" s="5" t="inlineStr">
        <is>
          <t>RT3-2029</t>
        </is>
      </c>
      <c r="B191" s="5" t="inlineStr">
        <is>
          <t>Reforma - 2029</t>
        </is>
      </c>
      <c r="C191" s="6" t="inlineStr">
        <is>
          <t>Escritório contábil (redução de 30%); receita R$ 600.000,00</t>
        </is>
      </c>
      <c r="D191" s="5" t="inlineStr">
        <is>
          <t>ISS</t>
        </is>
      </c>
      <c r="E191" s="7" t="n">
        <v>27000</v>
      </c>
      <c r="F191" s="8" t="n"/>
      <c r="G191" s="7">
        <f>IF(F191="","",E191-F191)</f>
        <v/>
      </c>
      <c r="H191" s="5" t="n"/>
      <c r="I191" s="6" t="n"/>
    </row>
    <row r="192">
      <c r="A192" s="5" t="inlineStr">
        <is>
          <t>RT3-2029</t>
        </is>
      </c>
      <c r="B192" s="5" t="inlineStr">
        <is>
          <t>Reforma - 2029</t>
        </is>
      </c>
      <c r="C192" s="6" t="inlineStr">
        <is>
          <t>Escritório contábil (redução de 30%); receita R$ 600.000,00</t>
        </is>
      </c>
      <c r="D192" s="5" t="inlineStr">
        <is>
          <t>CBS</t>
        </is>
      </c>
      <c r="E192" s="7" t="n">
        <v>28971.36</v>
      </c>
      <c r="F192" s="8" t="n"/>
      <c r="G192" s="7">
        <f>IF(F192="","",E192-F192)</f>
        <v/>
      </c>
      <c r="H192" s="5" t="n"/>
      <c r="I192" s="6" t="n"/>
    </row>
    <row r="193">
      <c r="A193" s="5" t="inlineStr">
        <is>
          <t>RT3-2029</t>
        </is>
      </c>
      <c r="B193" s="5" t="inlineStr">
        <is>
          <t>Reforma - 2029</t>
        </is>
      </c>
      <c r="C193" s="6" t="inlineStr">
        <is>
          <t>Escritório contábil (redução de 30%); receita R$ 600.000,00</t>
        </is>
      </c>
      <c r="D193" s="5" t="inlineStr">
        <is>
          <t>IBS</t>
        </is>
      </c>
      <c r="E193" s="7" t="n">
        <v>5827.19</v>
      </c>
      <c r="F193" s="8" t="n"/>
      <c r="G193" s="7">
        <f>IF(F193="","",E193-F193)</f>
        <v/>
      </c>
      <c r="H193" s="5" t="n"/>
      <c r="I193" s="6" t="n"/>
    </row>
    <row r="194">
      <c r="A194" s="9" t="inlineStr">
        <is>
          <t>RT3-2029</t>
        </is>
      </c>
      <c r="B194" s="9" t="inlineStr">
        <is>
          <t>Reforma - 2029</t>
        </is>
      </c>
      <c r="C194" s="10" t="inlineStr">
        <is>
          <t>Escritório contábil (redução de 30%); receita R$ 600.000,00</t>
        </is>
      </c>
      <c r="D194" s="9" t="inlineStr">
        <is>
          <t>TOTAL</t>
        </is>
      </c>
      <c r="E194" s="11">
        <f>SUM(E191:E193)</f>
        <v/>
      </c>
      <c r="F194" s="12" t="n"/>
      <c r="G194" s="11">
        <f>IF(F194="","",E194-F194)</f>
        <v/>
      </c>
      <c r="H194" s="9" t="n"/>
      <c r="I194" s="10" t="n"/>
    </row>
    <row r="195">
      <c r="A195" s="13" t="inlineStr">
        <is>
          <t>RT3-2033</t>
        </is>
      </c>
      <c r="B195" s="13" t="inlineStr">
        <is>
          <t>Reforma - 2033</t>
        </is>
      </c>
      <c r="C195" s="14" t="inlineStr">
        <is>
          <t>Escritório contábil (redução de 30%); receita R$ 600.000,00</t>
        </is>
      </c>
      <c r="D195" s="13" t="inlineStr">
        <is>
          <t>CBS</t>
        </is>
      </c>
      <c r="E195" s="15" t="n">
        <v>28971.36</v>
      </c>
      <c r="F195" s="8" t="n"/>
      <c r="G195" s="15">
        <f>IF(F195="","",E195-F195)</f>
        <v/>
      </c>
      <c r="H195" s="13" t="n"/>
      <c r="I195" s="14" t="n"/>
    </row>
    <row r="196">
      <c r="A196" s="13" t="inlineStr">
        <is>
          <t>RT3-2033</t>
        </is>
      </c>
      <c r="B196" s="13" t="inlineStr">
        <is>
          <t>Reforma - 2033</t>
        </is>
      </c>
      <c r="C196" s="14" t="inlineStr">
        <is>
          <t>Escritório contábil (redução de 30%); receita R$ 600.000,00</t>
        </is>
      </c>
      <c r="D196" s="13" t="inlineStr">
        <is>
          <t>IBS</t>
        </is>
      </c>
      <c r="E196" s="15" t="n">
        <v>58271.94</v>
      </c>
      <c r="F196" s="8" t="n"/>
      <c r="G196" s="15">
        <f>IF(F196="","",E196-F196)</f>
        <v/>
      </c>
      <c r="H196" s="13" t="n"/>
      <c r="I196" s="14" t="n"/>
    </row>
    <row r="197">
      <c r="A197" s="16" t="inlineStr">
        <is>
          <t>RT3-2033</t>
        </is>
      </c>
      <c r="B197" s="16" t="inlineStr">
        <is>
          <t>Reforma - 2033</t>
        </is>
      </c>
      <c r="C197" s="17" t="inlineStr">
        <is>
          <t>Escritório contábil (redução de 30%); receita R$ 600.000,00</t>
        </is>
      </c>
      <c r="D197" s="16" t="inlineStr">
        <is>
          <t>TOTAL</t>
        </is>
      </c>
      <c r="E197" s="18">
        <f>SUM(E195:E196)</f>
        <v/>
      </c>
      <c r="F197" s="12" t="n"/>
      <c r="G197" s="18">
        <f>IF(F197="","",E197-F197)</f>
        <v/>
      </c>
      <c r="H197" s="16" t="n"/>
      <c r="I197" s="17" t="n"/>
    </row>
    <row r="198">
      <c r="A198" s="5" t="inlineStr">
        <is>
          <t>RT5-2025</t>
        </is>
      </c>
      <c r="B198" s="5" t="inlineStr">
        <is>
          <t>Reforma - 2025</t>
        </is>
      </c>
      <c r="C198" s="6" t="inlineStr">
        <is>
          <t>Sociedade de advogados: 3 sócios com ISS fixo de R$ 1.000 por ano cada (valor de exemplo) e redução de 30% do art. 127; receita R$ 600.000,00</t>
        </is>
      </c>
      <c r="D198" s="5" t="inlineStr">
        <is>
          <t>PIS/Cofins</t>
        </is>
      </c>
      <c r="E198" s="7" t="n">
        <v>21900</v>
      </c>
      <c r="F198" s="8" t="n"/>
      <c r="G198" s="7">
        <f>IF(F198="","",E198-F198)</f>
        <v/>
      </c>
      <c r="H198" s="5" t="n"/>
      <c r="I198" s="6" t="n"/>
    </row>
    <row r="199">
      <c r="A199" s="5" t="inlineStr">
        <is>
          <t>RT5-2025</t>
        </is>
      </c>
      <c r="B199" s="5" t="inlineStr">
        <is>
          <t>Reforma - 2025</t>
        </is>
      </c>
      <c r="C199" s="6" t="inlineStr">
        <is>
          <t>Sociedade de advogados: 3 sócios com ISS fixo de R$ 1.000 por ano cada (valor de exemplo) e redução de 30% do art. 127; receita R$ 600.000,00</t>
        </is>
      </c>
      <c r="D199" s="5" t="inlineStr">
        <is>
          <t>ISS</t>
        </is>
      </c>
      <c r="E199" s="7" t="n">
        <v>3000</v>
      </c>
      <c r="F199" s="8" t="n"/>
      <c r="G199" s="7">
        <f>IF(F199="","",E199-F199)</f>
        <v/>
      </c>
      <c r="H199" s="5" t="n"/>
      <c r="I199" s="6" t="n"/>
    </row>
    <row r="200">
      <c r="A200" s="9" t="inlineStr">
        <is>
          <t>RT5-2025</t>
        </is>
      </c>
      <c r="B200" s="9" t="inlineStr">
        <is>
          <t>Reforma - 2025</t>
        </is>
      </c>
      <c r="C200" s="10" t="inlineStr">
        <is>
          <t>Sociedade de advogados: 3 sócios com ISS fixo de R$ 1.000 por ano cada (valor de exemplo) e redução de 30% do art. 127; receita R$ 600.000,00</t>
        </is>
      </c>
      <c r="D200" s="9" t="inlineStr">
        <is>
          <t>TOTAL</t>
        </is>
      </c>
      <c r="E200" s="11">
        <f>SUM(E198:E199)</f>
        <v/>
      </c>
      <c r="F200" s="12" t="n"/>
      <c r="G200" s="11">
        <f>IF(F200="","",E200-F200)</f>
        <v/>
      </c>
      <c r="H200" s="9" t="n"/>
      <c r="I200" s="10" t="n"/>
    </row>
    <row r="201">
      <c r="A201" s="13" t="inlineStr">
        <is>
          <t>RT5-2027</t>
        </is>
      </c>
      <c r="B201" s="13" t="inlineStr">
        <is>
          <t>Reforma - 2027</t>
        </is>
      </c>
      <c r="C201" s="14" t="inlineStr">
        <is>
          <t>Sociedade de advogados: 3 sócios com ISS fixo de R$ 1.000 por ano cada (valor de exemplo) e redução de 30% do art. 127; receita R$ 600.000,00</t>
        </is>
      </c>
      <c r="D201" s="13" t="inlineStr">
        <is>
          <t>ISS</t>
        </is>
      </c>
      <c r="E201" s="15" t="n">
        <v>3000</v>
      </c>
      <c r="F201" s="8" t="n"/>
      <c r="G201" s="15">
        <f>IF(F201="","",E201-F201)</f>
        <v/>
      </c>
      <c r="H201" s="13" t="n"/>
      <c r="I201" s="14" t="n"/>
    </row>
    <row r="202">
      <c r="A202" s="13" t="inlineStr">
        <is>
          <t>RT5-2027</t>
        </is>
      </c>
      <c r="B202" s="13" t="inlineStr">
        <is>
          <t>Reforma - 2027</t>
        </is>
      </c>
      <c r="C202" s="14" t="inlineStr">
        <is>
          <t>Sociedade de advogados: 3 sócios com ISS fixo de R$ 1.000 por ano cada (valor de exemplo) e redução de 30% do art. 127; receita R$ 600.000,00</t>
        </is>
      </c>
      <c r="D202" s="13" t="inlineStr">
        <is>
          <t>CBS</t>
        </is>
      </c>
      <c r="E202" s="15" t="n">
        <v>35023.59</v>
      </c>
      <c r="F202" s="8" t="n"/>
      <c r="G202" s="15">
        <f>IF(F202="","",E202-F202)</f>
        <v/>
      </c>
      <c r="H202" s="13" t="n"/>
      <c r="I202" s="14" t="n"/>
    </row>
    <row r="203">
      <c r="A203" s="13" t="inlineStr">
        <is>
          <t>RT5-2027</t>
        </is>
      </c>
      <c r="B203" s="13" t="inlineStr">
        <is>
          <t>Reforma - 2027</t>
        </is>
      </c>
      <c r="C203" s="14" t="inlineStr">
        <is>
          <t>Sociedade de advogados: 3 sócios com ISS fixo de R$ 1.000 por ano cada (valor de exemplo) e redução de 30% do art. 127; receita R$ 600.000,00</t>
        </is>
      </c>
      <c r="D203" s="13" t="inlineStr">
        <is>
          <t>IBS</t>
        </is>
      </c>
      <c r="E203" s="15" t="n">
        <v>402.57</v>
      </c>
      <c r="F203" s="8" t="n"/>
      <c r="G203" s="15">
        <f>IF(F203="","",E203-F203)</f>
        <v/>
      </c>
      <c r="H203" s="13" t="n"/>
      <c r="I203" s="14" t="n"/>
    </row>
    <row r="204">
      <c r="A204" s="16" t="inlineStr">
        <is>
          <t>RT5-2027</t>
        </is>
      </c>
      <c r="B204" s="16" t="inlineStr">
        <is>
          <t>Reforma - 2027</t>
        </is>
      </c>
      <c r="C204" s="17" t="inlineStr">
        <is>
          <t>Sociedade de advogados: 3 sócios com ISS fixo de R$ 1.000 por ano cada (valor de exemplo) e redução de 30% do art. 127; receita R$ 600.000,00</t>
        </is>
      </c>
      <c r="D204" s="16" t="inlineStr">
        <is>
          <t>TOTAL</t>
        </is>
      </c>
      <c r="E204" s="18">
        <f>SUM(E201:E203)</f>
        <v/>
      </c>
      <c r="F204" s="12" t="n"/>
      <c r="G204" s="18">
        <f>IF(F204="","",E204-F204)</f>
        <v/>
      </c>
      <c r="H204" s="16" t="n"/>
      <c r="I204" s="17" t="n"/>
    </row>
    <row r="205">
      <c r="A205" s="5" t="inlineStr">
        <is>
          <t>RT5-2029</t>
        </is>
      </c>
      <c r="B205" s="5" t="inlineStr">
        <is>
          <t>Reforma - 2029</t>
        </is>
      </c>
      <c r="C205" s="6" t="inlineStr">
        <is>
          <t>Sociedade de advogados: 3 sócios com ISS fixo de R$ 1.000 por ano cada (valor de exemplo) e redução de 30% do art. 127; receita R$ 600.000,00</t>
        </is>
      </c>
      <c r="D205" s="5" t="inlineStr">
        <is>
          <t>ISS</t>
        </is>
      </c>
      <c r="E205" s="7" t="n">
        <v>2700</v>
      </c>
      <c r="F205" s="8" t="n"/>
      <c r="G205" s="7">
        <f>IF(F205="","",E205-F205)</f>
        <v/>
      </c>
      <c r="H205" s="5" t="n"/>
      <c r="I205" s="6" t="n"/>
    </row>
    <row r="206">
      <c r="A206" s="5" t="inlineStr">
        <is>
          <t>RT5-2029</t>
        </is>
      </c>
      <c r="B206" s="5" t="inlineStr">
        <is>
          <t>Reforma - 2029</t>
        </is>
      </c>
      <c r="C206" s="6" t="inlineStr">
        <is>
          <t>Sociedade de advogados: 3 sócios com ISS fixo de R$ 1.000 por ano cada (valor de exemplo) e redução de 30% do art. 127; receita R$ 600.000,00</t>
        </is>
      </c>
      <c r="D206" s="5" t="inlineStr">
        <is>
          <t>CBS</t>
        </is>
      </c>
      <c r="E206" s="7" t="n">
        <v>35426.16</v>
      </c>
      <c r="F206" s="8" t="n"/>
      <c r="G206" s="7">
        <f>IF(F206="","",E206-F206)</f>
        <v/>
      </c>
      <c r="H206" s="5" t="n"/>
      <c r="I206" s="6" t="n"/>
    </row>
    <row r="207">
      <c r="A207" s="5" t="inlineStr">
        <is>
          <t>RT5-2029</t>
        </is>
      </c>
      <c r="B207" s="5" t="inlineStr">
        <is>
          <t>Reforma - 2029</t>
        </is>
      </c>
      <c r="C207" s="6" t="inlineStr">
        <is>
          <t>Sociedade de advogados: 3 sócios com ISS fixo de R$ 1.000 por ano cada (valor de exemplo) e redução de 30% do art. 127; receita R$ 600.000,00</t>
        </is>
      </c>
      <c r="D207" s="5" t="inlineStr">
        <is>
          <t>IBS</t>
        </is>
      </c>
      <c r="E207" s="7" t="n">
        <v>7125.49</v>
      </c>
      <c r="F207" s="8" t="n"/>
      <c r="G207" s="7">
        <f>IF(F207="","",E207-F207)</f>
        <v/>
      </c>
      <c r="H207" s="5" t="n"/>
      <c r="I207" s="6" t="n"/>
    </row>
    <row r="208">
      <c r="A208" s="9" t="inlineStr">
        <is>
          <t>RT5-2029</t>
        </is>
      </c>
      <c r="B208" s="9" t="inlineStr">
        <is>
          <t>Reforma - 2029</t>
        </is>
      </c>
      <c r="C208" s="10" t="inlineStr">
        <is>
          <t>Sociedade de advogados: 3 sócios com ISS fixo de R$ 1.000 por ano cada (valor de exemplo) e redução de 30% do art. 127; receita R$ 600.000,00</t>
        </is>
      </c>
      <c r="D208" s="9" t="inlineStr">
        <is>
          <t>TOTAL</t>
        </is>
      </c>
      <c r="E208" s="11">
        <f>SUM(E205:E207)</f>
        <v/>
      </c>
      <c r="F208" s="12" t="n"/>
      <c r="G208" s="11">
        <f>IF(F208="","",E208-F208)</f>
        <v/>
      </c>
      <c r="H208" s="9" t="n"/>
      <c r="I208" s="10" t="n"/>
    </row>
    <row r="209">
      <c r="A209" s="13" t="inlineStr">
        <is>
          <t>RT5-2033</t>
        </is>
      </c>
      <c r="B209" s="13" t="inlineStr">
        <is>
          <t>Reforma - 2033</t>
        </is>
      </c>
      <c r="C209" s="14" t="inlineStr">
        <is>
          <t>Sociedade de advogados: 3 sócios com ISS fixo de R$ 1.000 por ano cada (valor de exemplo) e redução de 30% do art. 127; receita R$ 600.000,00</t>
        </is>
      </c>
      <c r="D209" s="13" t="inlineStr">
        <is>
          <t>CBS</t>
        </is>
      </c>
      <c r="E209" s="15" t="n">
        <v>35426.16</v>
      </c>
      <c r="F209" s="8" t="n"/>
      <c r="G209" s="15">
        <f>IF(F209="","",E209-F209)</f>
        <v/>
      </c>
      <c r="H209" s="13" t="n"/>
      <c r="I209" s="14" t="n"/>
    </row>
    <row r="210">
      <c r="A210" s="13" t="inlineStr">
        <is>
          <t>RT5-2033</t>
        </is>
      </c>
      <c r="B210" s="13" t="inlineStr">
        <is>
          <t>Reforma - 2033</t>
        </is>
      </c>
      <c r="C210" s="14" t="inlineStr">
        <is>
          <t>Sociedade de advogados: 3 sócios com ISS fixo de R$ 1.000 por ano cada (valor de exemplo) e redução de 30% do art. 127; receita R$ 600.000,00</t>
        </is>
      </c>
      <c r="D210" s="13" t="inlineStr">
        <is>
          <t>IBS</t>
        </is>
      </c>
      <c r="E210" s="15" t="n">
        <v>71254.89</v>
      </c>
      <c r="F210" s="8" t="n"/>
      <c r="G210" s="15">
        <f>IF(F210="","",E210-F210)</f>
        <v/>
      </c>
      <c r="H210" s="13" t="n"/>
      <c r="I210" s="14" t="n"/>
    </row>
    <row r="211">
      <c r="A211" s="16" t="inlineStr">
        <is>
          <t>RT5-2033</t>
        </is>
      </c>
      <c r="B211" s="16" t="inlineStr">
        <is>
          <t>Reforma - 2033</t>
        </is>
      </c>
      <c r="C211" s="17" t="inlineStr">
        <is>
          <t>Sociedade de advogados: 3 sócios com ISS fixo de R$ 1.000 por ano cada (valor de exemplo) e redução de 30% do art. 127; receita R$ 600.000,00</t>
        </is>
      </c>
      <c r="D211" s="16" t="inlineStr">
        <is>
          <t>TOTAL</t>
        </is>
      </c>
      <c r="E211" s="18">
        <f>SUM(E209:E210)</f>
        <v/>
      </c>
      <c r="F211" s="12" t="n"/>
      <c r="G211" s="18">
        <f>IF(F211="","",E211-F211)</f>
        <v/>
      </c>
      <c r="H211" s="16" t="n"/>
      <c r="I211" s="17" t="n"/>
    </row>
    <row r="212">
      <c r="A212" s="5" t="inlineStr">
        <is>
          <t>RT4-2025</t>
        </is>
      </c>
      <c r="B212" s="5" t="inlineStr">
        <is>
          <t>Reforma - 2025</t>
        </is>
      </c>
      <c r="C212" s="6" t="inlineStr">
        <is>
          <t>Indústria no Lucro Real; receita R$ 3.000.000,00</t>
        </is>
      </c>
      <c r="D212" s="5" t="inlineStr">
        <is>
          <t>PIS/Cofins</t>
        </is>
      </c>
      <c r="E212" s="7" t="n">
        <v>120250</v>
      </c>
      <c r="F212" s="8" t="n"/>
      <c r="G212" s="7">
        <f>IF(F212="","",E212-F212)</f>
        <v/>
      </c>
      <c r="H212" s="5" t="n"/>
      <c r="I212" s="6" t="n"/>
    </row>
    <row r="213">
      <c r="A213" s="5" t="inlineStr">
        <is>
          <t>RT4-2025</t>
        </is>
      </c>
      <c r="B213" s="5" t="inlineStr">
        <is>
          <t>Reforma - 2025</t>
        </is>
      </c>
      <c r="C213" s="6" t="inlineStr">
        <is>
          <t>Indústria no Lucro Real; receita R$ 3.000.000,00</t>
        </is>
      </c>
      <c r="D213" s="5" t="inlineStr">
        <is>
          <t>IPI</t>
        </is>
      </c>
      <c r="E213" s="7" t="n">
        <v>150000</v>
      </c>
      <c r="F213" s="8" t="n"/>
      <c r="G213" s="7">
        <f>IF(F213="","",E213-F213)</f>
        <v/>
      </c>
      <c r="H213" s="5" t="n"/>
      <c r="I213" s="6" t="n"/>
    </row>
    <row r="214">
      <c r="A214" s="5" t="inlineStr">
        <is>
          <t>RT4-2025</t>
        </is>
      </c>
      <c r="B214" s="5" t="inlineStr">
        <is>
          <t>Reforma - 2025</t>
        </is>
      </c>
      <c r="C214" s="6" t="inlineStr">
        <is>
          <t>Indústria no Lucro Real; receita R$ 3.000.000,00</t>
        </is>
      </c>
      <c r="D214" s="5" t="inlineStr">
        <is>
          <t>ICMS</t>
        </is>
      </c>
      <c r="E214" s="7" t="n">
        <v>270000</v>
      </c>
      <c r="F214" s="8" t="n"/>
      <c r="G214" s="7">
        <f>IF(F214="","",E214-F214)</f>
        <v/>
      </c>
      <c r="H214" s="5" t="n"/>
      <c r="I214" s="6" t="n"/>
    </row>
    <row r="215">
      <c r="A215" s="9" t="inlineStr">
        <is>
          <t>RT4-2025</t>
        </is>
      </c>
      <c r="B215" s="9" t="inlineStr">
        <is>
          <t>Reforma - 2025</t>
        </is>
      </c>
      <c r="C215" s="10" t="inlineStr">
        <is>
          <t>Indústria no Lucro Real; receita R$ 3.000.000,00</t>
        </is>
      </c>
      <c r="D215" s="9" t="inlineStr">
        <is>
          <t>TOTAL</t>
        </is>
      </c>
      <c r="E215" s="11">
        <f>SUM(E212:E214)</f>
        <v/>
      </c>
      <c r="F215" s="12" t="n"/>
      <c r="G215" s="11">
        <f>IF(F215="","",E215-F215)</f>
        <v/>
      </c>
      <c r="H215" s="9" t="n"/>
      <c r="I215" s="10" t="n"/>
    </row>
    <row r="216">
      <c r="A216" s="13" t="inlineStr">
        <is>
          <t>RT4-2027</t>
        </is>
      </c>
      <c r="B216" s="13" t="inlineStr">
        <is>
          <t>Reforma - 2027</t>
        </is>
      </c>
      <c r="C216" s="14" t="inlineStr">
        <is>
          <t>Indústria no Lucro Real; receita R$ 3.000.000,00</t>
        </is>
      </c>
      <c r="D216" s="13" t="inlineStr">
        <is>
          <t>ICMS</t>
        </is>
      </c>
      <c r="E216" s="15" t="n">
        <v>270000</v>
      </c>
      <c r="F216" s="8" t="n"/>
      <c r="G216" s="15">
        <f>IF(F216="","",E216-F216)</f>
        <v/>
      </c>
      <c r="H216" s="13" t="n"/>
      <c r="I216" s="14" t="n"/>
    </row>
    <row r="217">
      <c r="A217" s="13" t="inlineStr">
        <is>
          <t>RT4-2027</t>
        </is>
      </c>
      <c r="B217" s="13" t="inlineStr">
        <is>
          <t>Reforma - 2027</t>
        </is>
      </c>
      <c r="C217" s="14" t="inlineStr">
        <is>
          <t>Indústria no Lucro Real; receita R$ 3.000.000,00</t>
        </is>
      </c>
      <c r="D217" s="13" t="inlineStr">
        <is>
          <t>CBS</t>
        </is>
      </c>
      <c r="E217" s="15" t="n">
        <v>82280.25</v>
      </c>
      <c r="F217" s="8" t="n"/>
      <c r="G217" s="15">
        <f>IF(F217="","",E217-F217)</f>
        <v/>
      </c>
      <c r="H217" s="13" t="n"/>
      <c r="I217" s="14" t="n"/>
    </row>
    <row r="218">
      <c r="A218" s="13" t="inlineStr">
        <is>
          <t>RT4-2027</t>
        </is>
      </c>
      <c r="B218" s="13" t="inlineStr">
        <is>
          <t>Reforma - 2027</t>
        </is>
      </c>
      <c r="C218" s="14" t="inlineStr">
        <is>
          <t>Indústria no Lucro Real; receita R$ 3.000.000,00</t>
        </is>
      </c>
      <c r="D218" s="13" t="inlineStr">
        <is>
          <t>IBS</t>
        </is>
      </c>
      <c r="E218" s="15" t="n">
        <v>945.75</v>
      </c>
      <c r="F218" s="8" t="n"/>
      <c r="G218" s="15">
        <f>IF(F218="","",E218-F218)</f>
        <v/>
      </c>
      <c r="H218" s="13" t="n"/>
      <c r="I218" s="14" t="n"/>
    </row>
    <row r="219">
      <c r="A219" s="16" t="inlineStr">
        <is>
          <t>RT4-2027</t>
        </is>
      </c>
      <c r="B219" s="16" t="inlineStr">
        <is>
          <t>Reforma - 2027</t>
        </is>
      </c>
      <c r="C219" s="17" t="inlineStr">
        <is>
          <t>Indústria no Lucro Real; receita R$ 3.000.000,00</t>
        </is>
      </c>
      <c r="D219" s="16" t="inlineStr">
        <is>
          <t>TOTAL</t>
        </is>
      </c>
      <c r="E219" s="18">
        <f>SUM(E216:E218)</f>
        <v/>
      </c>
      <c r="F219" s="12" t="n"/>
      <c r="G219" s="18">
        <f>IF(F219="","",E219-F219)</f>
        <v/>
      </c>
      <c r="H219" s="16" t="n"/>
      <c r="I219" s="17" t="n"/>
    </row>
    <row r="220">
      <c r="A220" s="5" t="inlineStr">
        <is>
          <t>RT4-2029</t>
        </is>
      </c>
      <c r="B220" s="5" t="inlineStr">
        <is>
          <t>Reforma - 2029</t>
        </is>
      </c>
      <c r="C220" s="6" t="inlineStr">
        <is>
          <t>Indústria no Lucro Real; receita R$ 3.000.000,00</t>
        </is>
      </c>
      <c r="D220" s="5" t="inlineStr">
        <is>
          <t>ICMS</t>
        </is>
      </c>
      <c r="E220" s="7" t="n">
        <v>243000</v>
      </c>
      <c r="F220" s="8" t="n"/>
      <c r="G220" s="7">
        <f>IF(F220="","",E220-F220)</f>
        <v/>
      </c>
      <c r="H220" s="5" t="n"/>
      <c r="I220" s="6" t="n"/>
    </row>
    <row r="221">
      <c r="A221" s="5" t="inlineStr">
        <is>
          <t>RT4-2029</t>
        </is>
      </c>
      <c r="B221" s="5" t="inlineStr">
        <is>
          <t>Reforma - 2029</t>
        </is>
      </c>
      <c r="C221" s="6" t="inlineStr">
        <is>
          <t>Indústria no Lucro Real; receita R$ 3.000.000,00</t>
        </is>
      </c>
      <c r="D221" s="5" t="inlineStr">
        <is>
          <t>CBS</t>
        </is>
      </c>
      <c r="E221" s="7" t="n">
        <v>83226</v>
      </c>
      <c r="F221" s="8" t="n"/>
      <c r="G221" s="7">
        <f>IF(F221="","",E221-F221)</f>
        <v/>
      </c>
      <c r="H221" s="5" t="n"/>
      <c r="I221" s="6" t="n"/>
    </row>
    <row r="222">
      <c r="A222" s="5" t="inlineStr">
        <is>
          <t>RT4-2029</t>
        </is>
      </c>
      <c r="B222" s="5" t="inlineStr">
        <is>
          <t>Reforma - 2029</t>
        </is>
      </c>
      <c r="C222" s="6" t="inlineStr">
        <is>
          <t>Indústria no Lucro Real; receita R$ 3.000.000,00</t>
        </is>
      </c>
      <c r="D222" s="5" t="inlineStr">
        <is>
          <t>IBS</t>
        </is>
      </c>
      <c r="E222" s="7" t="n">
        <v>16739.78</v>
      </c>
      <c r="F222" s="8" t="n"/>
      <c r="G222" s="7">
        <f>IF(F222="","",E222-F222)</f>
        <v/>
      </c>
      <c r="H222" s="5" t="n"/>
      <c r="I222" s="6" t="n"/>
    </row>
    <row r="223">
      <c r="A223" s="9" t="inlineStr">
        <is>
          <t>RT4-2029</t>
        </is>
      </c>
      <c r="B223" s="9" t="inlineStr">
        <is>
          <t>Reforma - 2029</t>
        </is>
      </c>
      <c r="C223" s="10" t="inlineStr">
        <is>
          <t>Indústria no Lucro Real; receita R$ 3.000.000,00</t>
        </is>
      </c>
      <c r="D223" s="9" t="inlineStr">
        <is>
          <t>TOTAL</t>
        </is>
      </c>
      <c r="E223" s="11">
        <f>SUM(E220:E222)</f>
        <v/>
      </c>
      <c r="F223" s="12" t="n"/>
      <c r="G223" s="11">
        <f>IF(F223="","",E223-F223)</f>
        <v/>
      </c>
      <c r="H223" s="9" t="n"/>
      <c r="I223" s="10" t="n"/>
    </row>
    <row r="224">
      <c r="A224" s="13" t="inlineStr">
        <is>
          <t>RT4-2033</t>
        </is>
      </c>
      <c r="B224" s="13" t="inlineStr">
        <is>
          <t>Reforma - 2033</t>
        </is>
      </c>
      <c r="C224" s="14" t="inlineStr">
        <is>
          <t>Indústria no Lucro Real; receita R$ 3.000.000,00</t>
        </is>
      </c>
      <c r="D224" s="13" t="inlineStr">
        <is>
          <t>CBS</t>
        </is>
      </c>
      <c r="E224" s="15" t="n">
        <v>83226</v>
      </c>
      <c r="F224" s="8" t="n"/>
      <c r="G224" s="15">
        <f>IF(F224="","",E224-F224)</f>
        <v/>
      </c>
      <c r="H224" s="13" t="n"/>
      <c r="I224" s="14" t="n"/>
    </row>
    <row r="225">
      <c r="A225" s="13" t="inlineStr">
        <is>
          <t>RT4-2033</t>
        </is>
      </c>
      <c r="B225" s="13" t="inlineStr">
        <is>
          <t>Reforma - 2033</t>
        </is>
      </c>
      <c r="C225" s="14" t="inlineStr">
        <is>
          <t>Indústria no Lucro Real; receita R$ 3.000.000,00</t>
        </is>
      </c>
      <c r="D225" s="13" t="inlineStr">
        <is>
          <t>IBS</t>
        </is>
      </c>
      <c r="E225" s="15" t="n">
        <v>167397.75</v>
      </c>
      <c r="F225" s="8" t="n"/>
      <c r="G225" s="15">
        <f>IF(F225="","",E225-F225)</f>
        <v/>
      </c>
      <c r="H225" s="13" t="n"/>
      <c r="I225" s="14" t="n"/>
    </row>
    <row r="226">
      <c r="A226" s="16" t="inlineStr">
        <is>
          <t>RT4-2033</t>
        </is>
      </c>
      <c r="B226" s="16" t="inlineStr">
        <is>
          <t>Reforma - 2033</t>
        </is>
      </c>
      <c r="C226" s="17" t="inlineStr">
        <is>
          <t>Indústria no Lucro Real; receita R$ 3.000.000,00</t>
        </is>
      </c>
      <c r="D226" s="16" t="inlineStr">
        <is>
          <t>TOTAL</t>
        </is>
      </c>
      <c r="E226" s="18">
        <f>SUM(E224:E225)</f>
        <v/>
      </c>
      <c r="F226" s="12" t="n"/>
      <c r="G226" s="18">
        <f>IF(F226="","",E226-F226)</f>
        <v/>
      </c>
      <c r="H226" s="16" t="n"/>
      <c r="I226" s="17" t="n"/>
    </row>
    <row r="227">
      <c r="A227" s="5" t="inlineStr">
        <is>
          <t>SR1-2027</t>
        </is>
      </c>
      <c r="B227" s="5" t="inlineStr">
        <is>
          <t>Simples na Reforma - 2027</t>
        </is>
      </c>
      <c r="C227" s="6" t="inlineStr">
        <is>
          <t>Comércio, 80% B2B, compras de fornecedores do regime regular; receita R$ 2.000.000,00</t>
        </is>
      </c>
      <c r="D227" s="5" t="inlineStr">
        <is>
          <t>Receita líquida — dentro do DAS</t>
        </is>
      </c>
      <c r="E227" s="7" t="n">
        <v>1801300</v>
      </c>
      <c r="F227" s="8" t="n"/>
      <c r="G227" s="7">
        <f>IF(F227="","",E227-F227)</f>
        <v/>
      </c>
      <c r="H227" s="5" t="n"/>
      <c r="I227" s="6" t="n"/>
    </row>
    <row r="228">
      <c r="A228" s="5" t="inlineStr">
        <is>
          <t>SR1-2027</t>
        </is>
      </c>
      <c r="B228" s="5" t="inlineStr">
        <is>
          <t>Simples na Reforma - 2027</t>
        </is>
      </c>
      <c r="C228" s="6" t="inlineStr">
        <is>
          <t>Comércio, 80% B2B, compras de fornecedores do regime regular; receita R$ 2.000.000,00</t>
        </is>
      </c>
      <c r="D228" s="5" t="inlineStr">
        <is>
          <t>Receita líquida — por fora</t>
        </is>
      </c>
      <c r="E228" s="7" t="n">
        <v>1885491.26</v>
      </c>
      <c r="F228" s="8" t="n"/>
      <c r="G228" s="7">
        <f>IF(F228="","",E228-F228)</f>
        <v/>
      </c>
      <c r="H228" s="5" t="n"/>
      <c r="I228" s="6" t="n"/>
    </row>
    <row r="229">
      <c r="A229" s="13" t="inlineStr">
        <is>
          <t>SR1-2033</t>
        </is>
      </c>
      <c r="B229" s="13" t="inlineStr">
        <is>
          <t>Simples na Reforma - 2033</t>
        </is>
      </c>
      <c r="C229" s="14" t="inlineStr">
        <is>
          <t>Comércio, 80% B2B, compras de fornecedores do regime regular; receita R$ 2.000.000,00</t>
        </is>
      </c>
      <c r="D229" s="13" t="inlineStr">
        <is>
          <t>Receita líquida — dentro do DAS</t>
        </is>
      </c>
      <c r="E229" s="15" t="n">
        <v>1801300</v>
      </c>
      <c r="F229" s="8" t="n"/>
      <c r="G229" s="15">
        <f>IF(F229="","",E229-F229)</f>
        <v/>
      </c>
      <c r="H229" s="13" t="n"/>
      <c r="I229" s="14" t="n"/>
    </row>
    <row r="230">
      <c r="A230" s="13" t="inlineStr">
        <is>
          <t>SR1-2033</t>
        </is>
      </c>
      <c r="B230" s="13" t="inlineStr">
        <is>
          <t>Simples na Reforma - 2033</t>
        </is>
      </c>
      <c r="C230" s="14" t="inlineStr">
        <is>
          <t>Comércio, 80% B2B, compras de fornecedores do regime regular; receita R$ 2.000.000,00</t>
        </is>
      </c>
      <c r="D230" s="13" t="inlineStr">
        <is>
          <t>Receita líquida — por fora</t>
        </is>
      </c>
      <c r="E230" s="15" t="n">
        <v>2063170.46</v>
      </c>
      <c r="F230" s="8" t="n"/>
      <c r="G230" s="15">
        <f>IF(F230="","",E230-F230)</f>
        <v/>
      </c>
      <c r="H230" s="13" t="n"/>
      <c r="I230" s="14" t="n"/>
    </row>
    <row r="231">
      <c r="A231" s="5" t="inlineStr">
        <is>
          <t>SR2-2027</t>
        </is>
      </c>
      <c r="B231" s="5" t="inlineStr">
        <is>
          <t>Simples na Reforma - 2027</t>
        </is>
      </c>
      <c r="C231" s="6" t="inlineStr">
        <is>
          <t>Serviços (Anexo III), 100% B2B, sem compras; receita R$ 600.000,00</t>
        </is>
      </c>
      <c r="D231" s="5" t="inlineStr">
        <is>
          <t>Receita líquida — dentro do DAS</t>
        </is>
      </c>
      <c r="E231" s="7" t="n">
        <v>536640</v>
      </c>
      <c r="F231" s="8" t="n"/>
      <c r="G231" s="7">
        <f>IF(F231="","",E231-F231)</f>
        <v/>
      </c>
      <c r="H231" s="5" t="n"/>
      <c r="I231" s="6" t="n"/>
    </row>
    <row r="232">
      <c r="A232" s="5" t="inlineStr">
        <is>
          <t>SR2-2027</t>
        </is>
      </c>
      <c r="B232" s="5" t="inlineStr">
        <is>
          <t>Simples na Reforma - 2027</t>
        </is>
      </c>
      <c r="C232" s="6" t="inlineStr">
        <is>
          <t>Serviços (Anexo III), 100% B2B, sem compras; receita R$ 600.000,00</t>
        </is>
      </c>
      <c r="D232" s="5" t="inlineStr">
        <is>
          <t>Receita líquida — por fora</t>
        </is>
      </c>
      <c r="E232" s="7" t="n">
        <v>537566.3</v>
      </c>
      <c r="F232" s="8" t="n"/>
      <c r="G232" s="7">
        <f>IF(F232="","",E232-F232)</f>
        <v/>
      </c>
      <c r="H232" s="5" t="n"/>
      <c r="I232" s="6" t="n"/>
    </row>
    <row r="233">
      <c r="A233" s="13" t="inlineStr">
        <is>
          <t>SR2-2033</t>
        </is>
      </c>
      <c r="B233" s="13" t="inlineStr">
        <is>
          <t>Simples na Reforma - 2033</t>
        </is>
      </c>
      <c r="C233" s="14" t="inlineStr">
        <is>
          <t>Serviços (Anexo III), 100% B2B, sem compras; receita R$ 600.000,00</t>
        </is>
      </c>
      <c r="D233" s="13" t="inlineStr">
        <is>
          <t>Receita líquida — dentro do DAS</t>
        </is>
      </c>
      <c r="E233" s="15" t="n">
        <v>536640</v>
      </c>
      <c r="F233" s="8" t="n"/>
      <c r="G233" s="15">
        <f>IF(F233="","",E233-F233)</f>
        <v/>
      </c>
      <c r="H233" s="13" t="n"/>
      <c r="I233" s="14" t="n"/>
    </row>
    <row r="234">
      <c r="A234" s="13" t="inlineStr">
        <is>
          <t>SR2-2033</t>
        </is>
      </c>
      <c r="B234" s="13" t="inlineStr">
        <is>
          <t>Simples na Reforma - 2033</t>
        </is>
      </c>
      <c r="C234" s="14" t="inlineStr">
        <is>
          <t>Serviços (Anexo III), 100% B2B, sem compras; receita R$ 600.000,00</t>
        </is>
      </c>
      <c r="D234" s="13" t="inlineStr">
        <is>
          <t>Receita líquida — por fora</t>
        </is>
      </c>
      <c r="E234" s="15" t="n">
        <v>538312.16</v>
      </c>
      <c r="F234" s="8" t="n"/>
      <c r="G234" s="15">
        <f>IF(F234="","",E234-F234)</f>
        <v/>
      </c>
      <c r="H234" s="13" t="n"/>
      <c r="I234" s="14" t="n"/>
    </row>
    <row r="235">
      <c r="A235" s="5" t="inlineStr">
        <is>
          <t>SR3-2027</t>
        </is>
      </c>
      <c r="B235" s="5" t="inlineStr">
        <is>
          <t>Simples na Reforma - 2027</t>
        </is>
      </c>
      <c r="C235" s="6" t="inlineStr">
        <is>
          <t>Serviços com fator R, 30% B2B; receita R$ 1.200.000,00</t>
        </is>
      </c>
      <c r="D235" s="5" t="inlineStr">
        <is>
          <t>Receita líquida — dentro do DAS</t>
        </is>
      </c>
      <c r="E235" s="7" t="n">
        <v>1043640</v>
      </c>
      <c r="F235" s="8" t="n"/>
      <c r="G235" s="7">
        <f>IF(F235="","",E235-F235)</f>
        <v/>
      </c>
      <c r="H235" s="5" t="n"/>
      <c r="I235" s="6" t="n"/>
    </row>
    <row r="236">
      <c r="A236" s="5" t="inlineStr">
        <is>
          <t>SR3-2027</t>
        </is>
      </c>
      <c r="B236" s="5" t="inlineStr">
        <is>
          <t>Simples na Reforma - 2027</t>
        </is>
      </c>
      <c r="C236" s="6" t="inlineStr">
        <is>
          <t>Serviços com fator R, 30% B2B; receita R$ 1.200.000,00</t>
        </is>
      </c>
      <c r="D236" s="5" t="inlineStr">
        <is>
          <t>Receita líquida — por fora</t>
        </is>
      </c>
      <c r="E236" s="7" t="n">
        <v>1002097.22</v>
      </c>
      <c r="F236" s="8" t="n"/>
      <c r="G236" s="7">
        <f>IF(F236="","",E236-F236)</f>
        <v/>
      </c>
      <c r="H236" s="5" t="n"/>
      <c r="I236" s="6" t="n"/>
    </row>
    <row r="237">
      <c r="A237" s="13" t="inlineStr">
        <is>
          <t>SR3-2033</t>
        </is>
      </c>
      <c r="B237" s="13" t="inlineStr">
        <is>
          <t>Simples na Reforma - 2033</t>
        </is>
      </c>
      <c r="C237" s="14" t="inlineStr">
        <is>
          <t>Serviços com fator R, 30% B2B; receita R$ 1.200.000,00</t>
        </is>
      </c>
      <c r="D237" s="13" t="inlineStr">
        <is>
          <t>Receita líquida — dentro do DAS</t>
        </is>
      </c>
      <c r="E237" s="15" t="n">
        <v>1043640</v>
      </c>
      <c r="F237" s="8" t="n"/>
      <c r="G237" s="15">
        <f>IF(F237="","",E237-F237)</f>
        <v/>
      </c>
      <c r="H237" s="13" t="n"/>
      <c r="I237" s="14" t="n"/>
    </row>
    <row r="238">
      <c r="A238" s="13" t="inlineStr">
        <is>
          <t>SR3-2033</t>
        </is>
      </c>
      <c r="B238" s="13" t="inlineStr">
        <is>
          <t>Simples na Reforma - 2033</t>
        </is>
      </c>
      <c r="C238" s="14" t="inlineStr">
        <is>
          <t>Serviços com fator R, 30% B2B; receita R$ 1.200.000,00</t>
        </is>
      </c>
      <c r="D238" s="13" t="inlineStr">
        <is>
          <t>Receita líquida — por fora</t>
        </is>
      </c>
      <c r="E238" s="15" t="n">
        <v>934610.78</v>
      </c>
      <c r="F238" s="8" t="n"/>
      <c r="G238" s="15">
        <f>IF(F238="","",E238-F238)</f>
        <v/>
      </c>
      <c r="H238" s="13" t="n"/>
      <c r="I238" s="14" t="n"/>
    </row>
    <row r="239">
      <c r="A239" s="5" t="inlineStr">
        <is>
          <t>ENQ1</t>
        </is>
      </c>
      <c r="B239" s="5" t="inlineStr">
        <is>
          <t>Enquadramento: Anexo V ao III (2026)</t>
        </is>
      </c>
      <c r="C239" s="6" t="inlineStr">
        <is>
          <t>Serviços do fator R, pró-labore de R$ 3.000/mês e sem empregados (o caso do kit de teste); servico_fator_r; receita R$ 600.000,00/ano; pró-labore R$ 36.000,00; outras desp. R$ 60.000,00; ano 2026; ISS 5%; cenário próprio de 30% no Anexo III</t>
        </is>
      </c>
      <c r="D239" s="5" t="inlineStr">
        <is>
          <t>DAS - Como está hoje</t>
        </is>
      </c>
      <c r="E239" s="7" t="n">
        <v>107100</v>
      </c>
      <c r="F239" s="8" t="n"/>
      <c r="G239" s="7">
        <f>IF(F239="","",E239-F239)</f>
        <v/>
      </c>
      <c r="H239" s="5" t="n"/>
      <c r="I239" s="6" t="n"/>
    </row>
    <row r="240">
      <c r="A240" s="5" t="inlineStr">
        <is>
          <t>ENQ1</t>
        </is>
      </c>
      <c r="B240" s="5" t="inlineStr">
        <is>
          <t>Enquadramento: Anexo V ao III (2026)</t>
        </is>
      </c>
      <c r="C240" s="6" t="inlineStr">
        <is>
          <t>Serviços do fator R, pró-labore de R$ 3.000/mês e sem empregados (o caso do kit de teste); servico_fator_r; receita R$ 600.000,00/ano; pró-labore R$ 36.000,00; outras desp. R$ 60.000,00; ano 2026; ISS 5%; cenário próprio de 30% no Anexo III</t>
        </is>
      </c>
      <c r="D240" s="5" t="inlineStr">
        <is>
          <t>DAS - Pró-labore +R$ 11.000,00/mês (fator R de 28%)</t>
        </is>
      </c>
      <c r="E240" s="7" t="n">
        <v>63360</v>
      </c>
      <c r="F240" s="8" t="n"/>
      <c r="G240" s="7">
        <f>IF(F240="","",E240-F240)</f>
        <v/>
      </c>
      <c r="H240" s="5" t="n"/>
      <c r="I240" s="6" t="n"/>
    </row>
    <row r="241">
      <c r="A241" s="5" t="inlineStr">
        <is>
          <t>ENQ1</t>
        </is>
      </c>
      <c r="B241" s="5" t="inlineStr">
        <is>
          <t>Enquadramento: Anexo V ao III (2026)</t>
        </is>
      </c>
      <c r="C241" s="6" t="inlineStr">
        <is>
          <t>Serviços do fator R, pró-labore de R$ 3.000/mês e sem empregados (o caso do kit de teste); servico_fator_r; receita R$ 600.000,00/ano; pró-labore R$ 36.000,00; outras desp. R$ 60.000,00; ano 2026; ISS 5%; cenário próprio de 30% no Anexo III</t>
        </is>
      </c>
      <c r="D241" s="5" t="inlineStr">
        <is>
          <t>INSS do sócio sobre o pró-labore adicional (caminho do fator R)</t>
        </is>
      </c>
      <c r="E241" s="7" t="n">
        <v>7227.72</v>
      </c>
      <c r="F241" s="8" t="n"/>
      <c r="G241" s="7">
        <f>IF(F241="","",E241-F241)</f>
        <v/>
      </c>
      <c r="H241" s="5" t="n"/>
      <c r="I241" s="6" t="n"/>
    </row>
    <row r="242">
      <c r="A242" s="5" t="inlineStr">
        <is>
          <t>ENQ1</t>
        </is>
      </c>
      <c r="B242" s="5" t="inlineStr">
        <is>
          <t>Enquadramento: Anexo V ao III (2026)</t>
        </is>
      </c>
      <c r="C242" s="6" t="inlineStr">
        <is>
          <t>Serviços do fator R, pró-labore de R$ 3.000/mês e sem empregados (o caso do kit de teste); servico_fator_r; receita R$ 600.000,00/ano; pró-labore R$ 36.000,00; outras desp. R$ 60.000,00; ano 2026; ISS 5%; cenário próprio de 30% no Anexo III</t>
        </is>
      </c>
      <c r="D242" s="5" t="inlineStr">
        <is>
          <t>DAS - 25% da receita em atividade do Anexo III (R$ 150.000,00)</t>
        </is>
      </c>
      <c r="E242" s="7" t="n">
        <v>96165</v>
      </c>
      <c r="F242" s="8" t="n"/>
      <c r="G242" s="7">
        <f>IF(F242="","",E242-F242)</f>
        <v/>
      </c>
      <c r="H242" s="5" t="n"/>
      <c r="I242" s="6" t="n"/>
    </row>
    <row r="243">
      <c r="A243" s="5" t="inlineStr">
        <is>
          <t>ENQ1</t>
        </is>
      </c>
      <c r="B243" s="5" t="inlineStr">
        <is>
          <t>Enquadramento: Anexo V ao III (2026)</t>
        </is>
      </c>
      <c r="C243" s="6" t="inlineStr">
        <is>
          <t>Serviços do fator R, pró-labore de R$ 3.000/mês e sem empregados (o caso do kit de teste); servico_fator_r; receita R$ 600.000,00/ano; pró-labore R$ 36.000,00; outras desp. R$ 60.000,00; ano 2026; ISS 5%; cenário próprio de 30% no Anexo III</t>
        </is>
      </c>
      <c r="D243" s="5" t="inlineStr">
        <is>
          <t>DAS - 30% da receita em atividade do Anexo III (R$ 180.000,00)</t>
        </is>
      </c>
      <c r="E243" s="7" t="n">
        <v>93978</v>
      </c>
      <c r="F243" s="8" t="n"/>
      <c r="G243" s="7">
        <f>IF(F243="","",E243-F243)</f>
        <v/>
      </c>
      <c r="H243" s="5" t="n"/>
      <c r="I243" s="6" t="n"/>
    </row>
    <row r="244">
      <c r="A244" s="5" t="inlineStr">
        <is>
          <t>ENQ1</t>
        </is>
      </c>
      <c r="B244" s="5" t="inlineStr">
        <is>
          <t>Enquadramento: Anexo V ao III (2026)</t>
        </is>
      </c>
      <c r="C244" s="6" t="inlineStr">
        <is>
          <t>Serviços do fator R, pró-labore de R$ 3.000/mês e sem empregados (o caso do kit de teste); servico_fator_r; receita R$ 600.000,00/ano; pró-labore R$ 36.000,00; outras desp. R$ 60.000,00; ano 2026; ISS 5%; cenário próprio de 30% no Anexo III</t>
        </is>
      </c>
      <c r="D244" s="5" t="inlineStr">
        <is>
          <t>DAS - 50% da receita em atividade do Anexo III (R$ 300.000,00)</t>
        </is>
      </c>
      <c r="E244" s="7" t="n">
        <v>85230</v>
      </c>
      <c r="F244" s="8" t="n"/>
      <c r="G244" s="7">
        <f>IF(F244="","",E244-F244)</f>
        <v/>
      </c>
      <c r="H244" s="5" t="n"/>
      <c r="I244" s="6" t="n"/>
    </row>
    <row r="245">
      <c r="A245" s="5" t="inlineStr">
        <is>
          <t>ENQ1</t>
        </is>
      </c>
      <c r="B245" s="5" t="inlineStr">
        <is>
          <t>Enquadramento: Anexo V ao III (2026)</t>
        </is>
      </c>
      <c r="C245" s="6" t="inlineStr">
        <is>
          <t>Serviços do fator R, pró-labore de R$ 3.000/mês e sem empregados (o caso do kit de teste); servico_fator_r; receita R$ 600.000,00/ano; pró-labore R$ 36.000,00; outras desp. R$ 60.000,00; ano 2026; ISS 5%; cenário próprio de 30% no Anexo III</t>
        </is>
      </c>
      <c r="D245" s="5" t="inlineStr">
        <is>
          <t>DAS - 100% da receita em atividade do Anexo III (R$ 600.000,00)</t>
        </is>
      </c>
      <c r="E245" s="7" t="n">
        <v>63360</v>
      </c>
      <c r="F245" s="8" t="n"/>
      <c r="G245" s="7">
        <f>IF(F245="","",E245-F245)</f>
        <v/>
      </c>
      <c r="H245" s="5" t="n"/>
      <c r="I245" s="6" t="n"/>
    </row>
    <row r="246">
      <c r="A246" s="13" t="inlineStr">
        <is>
          <t>ENQ2</t>
        </is>
      </c>
      <c r="B246" s="13" t="inlineStr">
        <is>
          <t>Enquadramento: Anexo V ao III (2026)</t>
        </is>
      </c>
      <c r="C246" s="14" t="inlineStr">
        <is>
          <t>Serviços do fator R com um empregado e pró-labore baixo; servico_fator_r; receita R$ 1.200.000,00/ano; folha CLT R$ 150.000,00; pró-labore R$ 48.000,00; outras desp. R$ 300.000,00; ano 2026; ISS 5%</t>
        </is>
      </c>
      <c r="D246" s="13" t="inlineStr">
        <is>
          <t>DAS - Como está hoje</t>
        </is>
      </c>
      <c r="E246" s="15" t="n">
        <v>228900</v>
      </c>
      <c r="F246" s="8" t="n"/>
      <c r="G246" s="15">
        <f>IF(F246="","",E246-F246)</f>
        <v/>
      </c>
      <c r="H246" s="13" t="n"/>
      <c r="I246" s="14" t="n"/>
    </row>
    <row r="247">
      <c r="A247" s="13" t="inlineStr">
        <is>
          <t>ENQ2</t>
        </is>
      </c>
      <c r="B247" s="13" t="inlineStr">
        <is>
          <t>Enquadramento: Anexo V ao III (2026)</t>
        </is>
      </c>
      <c r="C247" s="14" t="inlineStr">
        <is>
          <t>Serviços do fator R com um empregado e pró-labore baixo; servico_fator_r; receita R$ 1.200.000,00/ano; folha CLT R$ 150.000,00; pró-labore R$ 48.000,00; outras desp. R$ 300.000,00; ano 2026; ISS 5%</t>
        </is>
      </c>
      <c r="D247" s="13" t="inlineStr">
        <is>
          <t>DAS - Pró-labore +R$ 10.500,00/mês (fator R de 28%)</t>
        </is>
      </c>
      <c r="E247" s="15" t="n">
        <v>156360</v>
      </c>
      <c r="F247" s="8" t="n"/>
      <c r="G247" s="15">
        <f>IF(F247="","",E247-F247)</f>
        <v/>
      </c>
      <c r="H247" s="13" t="n"/>
      <c r="I247" s="14" t="n"/>
    </row>
    <row r="248">
      <c r="A248" s="13" t="inlineStr">
        <is>
          <t>ENQ2</t>
        </is>
      </c>
      <c r="B248" s="13" t="inlineStr">
        <is>
          <t>Enquadramento: Anexo V ao III (2026)</t>
        </is>
      </c>
      <c r="C248" s="14" t="inlineStr">
        <is>
          <t>Serviços do fator R com um empregado e pró-labore baixo; servico_fator_r; receita R$ 1.200.000,00/ano; folha CLT R$ 150.000,00; pró-labore R$ 48.000,00; outras desp. R$ 300.000,00; ano 2026; ISS 5%</t>
        </is>
      </c>
      <c r="D248" s="13" t="inlineStr">
        <is>
          <t>INSS do sócio sobre o pró-labore adicional (caminho do fator R)</t>
        </is>
      </c>
      <c r="E248" s="15" t="n">
        <v>5907.72</v>
      </c>
      <c r="F248" s="8" t="n"/>
      <c r="G248" s="15">
        <f>IF(F248="","",E248-F248)</f>
        <v/>
      </c>
      <c r="H248" s="13" t="n"/>
      <c r="I248" s="14" t="n"/>
    </row>
    <row r="249">
      <c r="A249" s="13" t="inlineStr">
        <is>
          <t>ENQ2</t>
        </is>
      </c>
      <c r="B249" s="13" t="inlineStr">
        <is>
          <t>Enquadramento: Anexo V ao III (2026)</t>
        </is>
      </c>
      <c r="C249" s="14" t="inlineStr">
        <is>
          <t>Serviços do fator R com um empregado e pró-labore baixo; servico_fator_r; receita R$ 1.200.000,00/ano; folha CLT R$ 150.000,00; pró-labore R$ 48.000,00; outras desp. R$ 300.000,00; ano 2026; ISS 5%</t>
        </is>
      </c>
      <c r="D249" s="13" t="inlineStr">
        <is>
          <t>DAS - 25% da receita em atividade do Anexo III (R$ 300.000,00)</t>
        </is>
      </c>
      <c r="E249" s="15" t="n">
        <v>210765</v>
      </c>
      <c r="F249" s="8" t="n"/>
      <c r="G249" s="15">
        <f>IF(F249="","",E249-F249)</f>
        <v/>
      </c>
      <c r="H249" s="13" t="n"/>
      <c r="I249" s="14" t="n"/>
    </row>
    <row r="250">
      <c r="A250" s="13" t="inlineStr">
        <is>
          <t>ENQ2</t>
        </is>
      </c>
      <c r="B250" s="13" t="inlineStr">
        <is>
          <t>Enquadramento: Anexo V ao III (2026)</t>
        </is>
      </c>
      <c r="C250" s="14" t="inlineStr">
        <is>
          <t>Serviços do fator R com um empregado e pró-labore baixo; servico_fator_r; receita R$ 1.200.000,00/ano; folha CLT R$ 150.000,00; pró-labore R$ 48.000,00; outras desp. R$ 300.000,00; ano 2026; ISS 5%</t>
        </is>
      </c>
      <c r="D250" s="13" t="inlineStr">
        <is>
          <t>DAS - 50% da receita em atividade do Anexo III (R$ 600.000,00)</t>
        </is>
      </c>
      <c r="E250" s="15" t="n">
        <v>192630</v>
      </c>
      <c r="F250" s="8" t="n"/>
      <c r="G250" s="15">
        <f>IF(F250="","",E250-F250)</f>
        <v/>
      </c>
      <c r="H250" s="13" t="n"/>
      <c r="I250" s="14" t="n"/>
    </row>
    <row r="251">
      <c r="A251" s="13" t="inlineStr">
        <is>
          <t>ENQ2</t>
        </is>
      </c>
      <c r="B251" s="13" t="inlineStr">
        <is>
          <t>Enquadramento: Anexo V ao III (2026)</t>
        </is>
      </c>
      <c r="C251" s="14" t="inlineStr">
        <is>
          <t>Serviços do fator R com um empregado e pró-labore baixo; servico_fator_r; receita R$ 1.200.000,00/ano; folha CLT R$ 150.000,00; pró-labore R$ 48.000,00; outras desp. R$ 300.000,00; ano 2026; ISS 5%</t>
        </is>
      </c>
      <c r="D251" s="13" t="inlineStr">
        <is>
          <t>DAS - 100% da receita em atividade do Anexo III (R$ 1.200.000,00)</t>
        </is>
      </c>
      <c r="E251" s="15" t="n">
        <v>156360</v>
      </c>
      <c r="F251" s="8" t="n"/>
      <c r="G251" s="15">
        <f>IF(F251="","",E251-F251)</f>
        <v/>
      </c>
      <c r="H251" s="13" t="n"/>
      <c r="I251" s="14" t="n"/>
    </row>
    <row r="252">
      <c r="A252" s="5" t="inlineStr">
        <is>
          <t>ENQ3</t>
        </is>
      </c>
      <c r="B252" s="5" t="inlineStr">
        <is>
          <t>Enquadramento: Anexo V ao III (2026)</t>
        </is>
      </c>
      <c r="C252" s="6" t="inlineStr">
        <is>
          <t>Serviços do fator R, receita baixa e só pró-labore; servico_fator_r; receita R$ 300.000,00/ano; pró-labore R$ 24.000,00; outras desp. R$ 30.000,00; ano 2026; ISS 5%</t>
        </is>
      </c>
      <c r="D252" s="5" t="inlineStr">
        <is>
          <t>DAS - Como está hoje</t>
        </is>
      </c>
      <c r="E252" s="7" t="n">
        <v>49500</v>
      </c>
      <c r="F252" s="8" t="n"/>
      <c r="G252" s="7">
        <f>IF(F252="","",E252-F252)</f>
        <v/>
      </c>
      <c r="H252" s="5" t="n"/>
      <c r="I252" s="6" t="n"/>
    </row>
    <row r="253">
      <c r="A253" s="5" t="inlineStr">
        <is>
          <t>ENQ3</t>
        </is>
      </c>
      <c r="B253" s="5" t="inlineStr">
        <is>
          <t>Enquadramento: Anexo V ao III (2026)</t>
        </is>
      </c>
      <c r="C253" s="6" t="inlineStr">
        <is>
          <t>Serviços do fator R, receita baixa e só pró-labore; servico_fator_r; receita R$ 300.000,00/ano; pró-labore R$ 24.000,00; outras desp. R$ 30.000,00; ano 2026; ISS 5%</t>
        </is>
      </c>
      <c r="D253" s="5" t="inlineStr">
        <is>
          <t>DAS - Pró-labore +R$ 5.000,00/mês (fator R de 28%)</t>
        </is>
      </c>
      <c r="E253" s="7" t="n">
        <v>24240</v>
      </c>
      <c r="F253" s="8" t="n"/>
      <c r="G253" s="7">
        <f>IF(F253="","",E253-F253)</f>
        <v/>
      </c>
      <c r="H253" s="5" t="n"/>
      <c r="I253" s="6" t="n"/>
    </row>
    <row r="254">
      <c r="A254" s="5" t="inlineStr">
        <is>
          <t>ENQ3</t>
        </is>
      </c>
      <c r="B254" s="5" t="inlineStr">
        <is>
          <t>Enquadramento: Anexo V ao III (2026)</t>
        </is>
      </c>
      <c r="C254" s="6" t="inlineStr">
        <is>
          <t>Serviços do fator R, receita baixa e só pró-labore; servico_fator_r; receita R$ 300.000,00/ano; pró-labore R$ 24.000,00; outras desp. R$ 30.000,00; ano 2026; ISS 5%</t>
        </is>
      </c>
      <c r="D254" s="5" t="inlineStr">
        <is>
          <t>INSS do sócio sobre o pró-labore adicional (caminho do fator R)</t>
        </is>
      </c>
      <c r="E254" s="7" t="n">
        <v>6600</v>
      </c>
      <c r="F254" s="8" t="n"/>
      <c r="G254" s="7">
        <f>IF(F254="","",E254-F254)</f>
        <v/>
      </c>
      <c r="H254" s="5" t="n"/>
      <c r="I254" s="6" t="n"/>
    </row>
    <row r="255">
      <c r="A255" s="5" t="inlineStr">
        <is>
          <t>ENQ3</t>
        </is>
      </c>
      <c r="B255" s="5" t="inlineStr">
        <is>
          <t>Enquadramento: Anexo V ao III (2026)</t>
        </is>
      </c>
      <c r="C255" s="6" t="inlineStr">
        <is>
          <t>Serviços do fator R, receita baixa e só pró-labore; servico_fator_r; receita R$ 300.000,00/ano; pró-labore R$ 24.000,00; outras desp. R$ 30.000,00; ano 2026; ISS 5%</t>
        </is>
      </c>
      <c r="D255" s="5" t="inlineStr">
        <is>
          <t>DAS - 25% da receita em atividade do Anexo III (R$ 75.000,00)</t>
        </is>
      </c>
      <c r="E255" s="7" t="n">
        <v>43185</v>
      </c>
      <c r="F255" s="8" t="n"/>
      <c r="G255" s="7">
        <f>IF(F255="","",E255-F255)</f>
        <v/>
      </c>
      <c r="H255" s="5" t="n"/>
      <c r="I255" s="6" t="n"/>
    </row>
    <row r="256">
      <c r="A256" s="5" t="inlineStr">
        <is>
          <t>ENQ3</t>
        </is>
      </c>
      <c r="B256" s="5" t="inlineStr">
        <is>
          <t>Enquadramento: Anexo V ao III (2026)</t>
        </is>
      </c>
      <c r="C256" s="6" t="inlineStr">
        <is>
          <t>Serviços do fator R, receita baixa e só pró-labore; servico_fator_r; receita R$ 300.000,00/ano; pró-labore R$ 24.000,00; outras desp. R$ 30.000,00; ano 2026; ISS 5%</t>
        </is>
      </c>
      <c r="D256" s="5" t="inlineStr">
        <is>
          <t>DAS - 50% da receita em atividade do Anexo III (R$ 150.000,00)</t>
        </is>
      </c>
      <c r="E256" s="7" t="n">
        <v>36870</v>
      </c>
      <c r="F256" s="8" t="n"/>
      <c r="G256" s="7">
        <f>IF(F256="","",E256-F256)</f>
        <v/>
      </c>
      <c r="H256" s="5" t="n"/>
      <c r="I256" s="6" t="n"/>
    </row>
    <row r="257">
      <c r="A257" s="5" t="inlineStr">
        <is>
          <t>ENQ3</t>
        </is>
      </c>
      <c r="B257" s="5" t="inlineStr">
        <is>
          <t>Enquadramento: Anexo V ao III (2026)</t>
        </is>
      </c>
      <c r="C257" s="6" t="inlineStr">
        <is>
          <t>Serviços do fator R, receita baixa e só pró-labore; servico_fator_r; receita R$ 300.000,00/ano; pró-labore R$ 24.000,00; outras desp. R$ 30.000,00; ano 2026; ISS 5%</t>
        </is>
      </c>
      <c r="D257" s="5" t="inlineStr">
        <is>
          <t>DAS - 100% da receita em atividade do Anexo III (R$ 300.000,00)</t>
        </is>
      </c>
      <c r="E257" s="7" t="n">
        <v>24240</v>
      </c>
      <c r="F257" s="8" t="n"/>
      <c r="G257" s="7">
        <f>IF(F257="","",E257-F257)</f>
        <v/>
      </c>
      <c r="H257" s="5" t="n"/>
      <c r="I257" s="6" t="n"/>
    </row>
    <row r="258">
      <c r="A258" s="13" t="inlineStr">
        <is>
          <t>ENQ4</t>
        </is>
      </c>
      <c r="B258" s="13" t="inlineStr">
        <is>
          <t>Enquadramento: Anexo V ao III (2026)</t>
        </is>
      </c>
      <c r="C258" s="14" t="inlineStr">
        <is>
          <t>Serviços do fator R, receita alta (5ª faixa) e fator R de 18,5%; servico_fator_r; receita R$ 2.400.000,00/ano; folha CLT R$ 300.000,00; pró-labore R$ 120.000,00; outras desp. R$ 600.000,00; ano 2026; ISS 5%</t>
        </is>
      </c>
      <c r="D258" s="13" t="inlineStr">
        <is>
          <t>DAS - Como está hoje</t>
        </is>
      </c>
      <c r="E258" s="15" t="n">
        <v>489900</v>
      </c>
      <c r="F258" s="8" t="n"/>
      <c r="G258" s="15">
        <f>IF(F258="","",E258-F258)</f>
        <v/>
      </c>
      <c r="H258" s="13" t="n"/>
      <c r="I258" s="14" t="n"/>
    </row>
    <row r="259">
      <c r="A259" s="13" t="inlineStr">
        <is>
          <t>ENQ4</t>
        </is>
      </c>
      <c r="B259" s="13" t="inlineStr">
        <is>
          <t>Enquadramento: Anexo V ao III (2026)</t>
        </is>
      </c>
      <c r="C259" s="14" t="inlineStr">
        <is>
          <t>Serviços do fator R, receita alta (5ª faixa) e fator R de 18,5%; servico_fator_r; receita R$ 2.400.000,00/ano; folha CLT R$ 300.000,00; pró-labore R$ 120.000,00; outras desp. R$ 600.000,00; ano 2026; ISS 5%</t>
        </is>
      </c>
      <c r="D259" s="13" t="inlineStr">
        <is>
          <t>DAS - Pró-labore +R$ 19.000,00/mês (fator R de 28%)</t>
        </is>
      </c>
      <c r="E259" s="15" t="n">
        <v>378360</v>
      </c>
      <c r="F259" s="8" t="n"/>
      <c r="G259" s="15">
        <f>IF(F259="","",E259-F259)</f>
        <v/>
      </c>
      <c r="H259" s="13" t="n"/>
      <c r="I259" s="14" t="n"/>
    </row>
    <row r="260">
      <c r="A260" s="13" t="inlineStr">
        <is>
          <t>ENQ4</t>
        </is>
      </c>
      <c r="B260" s="13" t="inlineStr">
        <is>
          <t>Enquadramento: Anexo V ao III (2026)</t>
        </is>
      </c>
      <c r="C260" s="14" t="inlineStr">
        <is>
          <t>Serviços do fator R, receita alta (5ª faixa) e fator R de 18,5%; servico_fator_r; receita R$ 2.400.000,00/ano; folha CLT R$ 300.000,00; pró-labore R$ 120.000,00; outras desp. R$ 600.000,00; ano 2026; ISS 5%</t>
        </is>
      </c>
      <c r="D260" s="13" t="inlineStr">
        <is>
          <t>DAS - 25% da receita em atividade do Anexo III (R$ 600.000,00)</t>
        </is>
      </c>
      <c r="E260" s="15" t="n">
        <v>462015</v>
      </c>
      <c r="F260" s="8" t="n"/>
      <c r="G260" s="15">
        <f>IF(F260="","",E260-F260)</f>
        <v/>
      </c>
      <c r="H260" s="13" t="n"/>
      <c r="I260" s="14" t="n"/>
    </row>
    <row r="261">
      <c r="A261" s="13" t="inlineStr">
        <is>
          <t>ENQ4</t>
        </is>
      </c>
      <c r="B261" s="13" t="inlineStr">
        <is>
          <t>Enquadramento: Anexo V ao III (2026)</t>
        </is>
      </c>
      <c r="C261" s="14" t="inlineStr">
        <is>
          <t>Serviços do fator R, receita alta (5ª faixa) e fator R de 18,5%; servico_fator_r; receita R$ 2.400.000,00/ano; folha CLT R$ 300.000,00; pró-labore R$ 120.000,00; outras desp. R$ 600.000,00; ano 2026; ISS 5%</t>
        </is>
      </c>
      <c r="D261" s="13" t="inlineStr">
        <is>
          <t>DAS - 50% da receita em atividade do Anexo III (R$ 1.200.000,00)</t>
        </is>
      </c>
      <c r="E261" s="15" t="n">
        <v>434130</v>
      </c>
      <c r="F261" s="8" t="n"/>
      <c r="G261" s="15">
        <f>IF(F261="","",E261-F261)</f>
        <v/>
      </c>
      <c r="H261" s="13" t="n"/>
      <c r="I261" s="14" t="n"/>
    </row>
    <row r="262">
      <c r="A262" s="13" t="inlineStr">
        <is>
          <t>ENQ4</t>
        </is>
      </c>
      <c r="B262" s="13" t="inlineStr">
        <is>
          <t>Enquadramento: Anexo V ao III (2026)</t>
        </is>
      </c>
      <c r="C262" s="14" t="inlineStr">
        <is>
          <t>Serviços do fator R, receita alta (5ª faixa) e fator R de 18,5%; servico_fator_r; receita R$ 2.400.000,00/ano; folha CLT R$ 300.000,00; pró-labore R$ 120.000,00; outras desp. R$ 600.000,00; ano 2026; ISS 5%</t>
        </is>
      </c>
      <c r="D262" s="13" t="inlineStr">
        <is>
          <t>DAS - 100% da receita em atividade do Anexo III (R$ 2.400.000,00)</t>
        </is>
      </c>
      <c r="E262" s="15" t="n">
        <v>378360</v>
      </c>
      <c r="F262" s="8" t="n"/>
      <c r="G262" s="15">
        <f>IF(F262="","",E262-F262)</f>
        <v/>
      </c>
      <c r="H262" s="13" t="n"/>
      <c r="I262" s="14" t="n"/>
    </row>
    <row r="263">
      <c r="A263" s="5" t="inlineStr">
        <is>
          <t>ENQ5</t>
        </is>
      </c>
      <c r="B263" s="5" t="inlineStr">
        <is>
          <t>Enquadramento: Anexo V ao III (2026)</t>
        </is>
      </c>
      <c r="C263" s="6" t="inlineStr">
        <is>
          <t>Fator R já acima de 28% (folha CLT de R$ 140.000, pró-labore de R$ 28.000 e FGTS): só o cenário de hoje; servico_fator_r; receita R$ 600.000,00/ano; folha CLT R$ 140.000,00; pró-labore R$ 28.000,00; outras desp. R$ 60.000,00; ano 2026; ISS 5%</t>
        </is>
      </c>
      <c r="D263" s="5" t="inlineStr">
        <is>
          <t>DAS - Como está hoje</t>
        </is>
      </c>
      <c r="E263" s="7" t="n">
        <v>63360</v>
      </c>
      <c r="F263" s="8" t="n"/>
      <c r="G263" s="7">
        <f>IF(F263="","",E263-F263)</f>
        <v/>
      </c>
      <c r="H263" s="5" t="n"/>
      <c r="I263" s="6" t="n"/>
    </row>
    <row r="264">
      <c r="A264" s="13" t="inlineStr">
        <is>
          <t>ENQ6</t>
        </is>
      </c>
      <c r="B264" s="13" t="inlineStr">
        <is>
          <t>Enquadramento: Anexo V ao III (2026)</t>
        </is>
      </c>
      <c r="C264" s="14" t="inlineStr">
        <is>
          <t>Folha do fator R informada pelo contador (R$ 100.000) em vez da calculada, receita de R$ 600.000; servico_fator_r; receita R$ 600.000,00/ano; pró-labore R$ 36.000,00; outras desp. R$ 60.000,00; ano 2026; ISS 5%</t>
        </is>
      </c>
      <c r="D264" s="13" t="inlineStr">
        <is>
          <t>DAS - Como está hoje</t>
        </is>
      </c>
      <c r="E264" s="15" t="n">
        <v>107100</v>
      </c>
      <c r="F264" s="8" t="n"/>
      <c r="G264" s="15">
        <f>IF(F264="","",E264-F264)</f>
        <v/>
      </c>
      <c r="H264" s="13" t="n"/>
      <c r="I264" s="14" t="n"/>
    </row>
    <row r="265">
      <c r="A265" s="13" t="inlineStr">
        <is>
          <t>ENQ6</t>
        </is>
      </c>
      <c r="B265" s="13" t="inlineStr">
        <is>
          <t>Enquadramento: Anexo V ao III (2026)</t>
        </is>
      </c>
      <c r="C265" s="14" t="inlineStr">
        <is>
          <t>Folha do fator R informada pelo contador (R$ 100.000) em vez da calculada, receita de R$ 600.000; servico_fator_r; receita R$ 600.000,00/ano; pró-labore R$ 36.000,00; outras desp. R$ 60.000,00; ano 2026; ISS 5%</t>
        </is>
      </c>
      <c r="D265" s="13" t="inlineStr">
        <is>
          <t>DAS - Pró-labore +R$ 5.666,67/mês (fator R de 28%)</t>
        </is>
      </c>
      <c r="E265" s="15" t="n">
        <v>63360</v>
      </c>
      <c r="F265" s="8" t="n"/>
      <c r="G265" s="15">
        <f>IF(F265="","",E265-F265)</f>
        <v/>
      </c>
      <c r="H265" s="13" t="n"/>
      <c r="I265" s="14" t="n"/>
    </row>
    <row r="266">
      <c r="A266" s="13" t="inlineStr">
        <is>
          <t>ENQ6</t>
        </is>
      </c>
      <c r="B266" s="13" t="inlineStr">
        <is>
          <t>Enquadramento: Anexo V ao III (2026)</t>
        </is>
      </c>
      <c r="C266" s="14" t="inlineStr">
        <is>
          <t>Folha do fator R informada pelo contador (R$ 100.000) em vez da calculada, receita de R$ 600.000; servico_fator_r; receita R$ 600.000,00/ano; pró-labore R$ 36.000,00; outras desp. R$ 60.000,00; ano 2026; ISS 5%</t>
        </is>
      </c>
      <c r="D266" s="13" t="inlineStr">
        <is>
          <t>INSS do sócio sobre o pró-labore adicional (caminho do fator R)</t>
        </is>
      </c>
      <c r="E266" s="15" t="n">
        <v>7227.72</v>
      </c>
      <c r="F266" s="8" t="n"/>
      <c r="G266" s="15">
        <f>IF(F266="","",E266-F266)</f>
        <v/>
      </c>
      <c r="H266" s="13" t="n"/>
      <c r="I266" s="14" t="n"/>
    </row>
    <row r="267">
      <c r="A267" s="13" t="inlineStr">
        <is>
          <t>ENQ6</t>
        </is>
      </c>
      <c r="B267" s="13" t="inlineStr">
        <is>
          <t>Enquadramento: Anexo V ao III (2026)</t>
        </is>
      </c>
      <c r="C267" s="14" t="inlineStr">
        <is>
          <t>Folha do fator R informada pelo contador (R$ 100.000) em vez da calculada, receita de R$ 600.000; servico_fator_r; receita R$ 600.000,00/ano; pró-labore R$ 36.000,00; outras desp. R$ 60.000,00; ano 2026; ISS 5%</t>
        </is>
      </c>
      <c r="D267" s="13" t="inlineStr">
        <is>
          <t>DAS - 25% da receita em atividade do Anexo III (R$ 150.000,00)</t>
        </is>
      </c>
      <c r="E267" s="15" t="n">
        <v>96165</v>
      </c>
      <c r="F267" s="8" t="n"/>
      <c r="G267" s="15">
        <f>IF(F267="","",E267-F267)</f>
        <v/>
      </c>
      <c r="H267" s="13" t="n"/>
      <c r="I267" s="14" t="n"/>
    </row>
    <row r="268">
      <c r="A268" s="13" t="inlineStr">
        <is>
          <t>ENQ6</t>
        </is>
      </c>
      <c r="B268" s="13" t="inlineStr">
        <is>
          <t>Enquadramento: Anexo V ao III (2026)</t>
        </is>
      </c>
      <c r="C268" s="14" t="inlineStr">
        <is>
          <t>Folha do fator R informada pelo contador (R$ 100.000) em vez da calculada, receita de R$ 600.000; servico_fator_r; receita R$ 600.000,00/ano; pró-labore R$ 36.000,00; outras desp. R$ 60.000,00; ano 2026; ISS 5%</t>
        </is>
      </c>
      <c r="D268" s="13" t="inlineStr">
        <is>
          <t>DAS - 50% da receita em atividade do Anexo III (R$ 300.000,00)</t>
        </is>
      </c>
      <c r="E268" s="15" t="n">
        <v>85230</v>
      </c>
      <c r="F268" s="8" t="n"/>
      <c r="G268" s="15">
        <f>IF(F268="","",E268-F268)</f>
        <v/>
      </c>
      <c r="H268" s="13" t="n"/>
      <c r="I268" s="14" t="n"/>
    </row>
    <row r="269">
      <c r="A269" s="13" t="inlineStr">
        <is>
          <t>ENQ6</t>
        </is>
      </c>
      <c r="B269" s="13" t="inlineStr">
        <is>
          <t>Enquadramento: Anexo V ao III (2026)</t>
        </is>
      </c>
      <c r="C269" s="14" t="inlineStr">
        <is>
          <t>Folha do fator R informada pelo contador (R$ 100.000) em vez da calculada, receita de R$ 600.000; servico_fator_r; receita R$ 600.000,00/ano; pró-labore R$ 36.000,00; outras desp. R$ 60.000,00; ano 2026; ISS 5%</t>
        </is>
      </c>
      <c r="D269" s="13" t="inlineStr">
        <is>
          <t>DAS - 100% da receita em atividade do Anexo III (R$ 600.000,00)</t>
        </is>
      </c>
      <c r="E269" s="15" t="n">
        <v>63360</v>
      </c>
      <c r="F269" s="8" t="n"/>
      <c r="G269" s="15">
        <f>IF(F269="","",E269-F269)</f>
        <v/>
      </c>
      <c r="H269" s="13" t="n"/>
      <c r="I269" s="14" t="n"/>
    </row>
    <row r="270">
      <c r="A270" s="5" t="inlineStr">
        <is>
          <t>ADV1-SN</t>
        </is>
      </c>
      <c r="B270" s="5" t="inlineStr">
        <is>
          <t>Simples Nacional</t>
        </is>
      </c>
      <c r="C270" s="6" t="inlineStr">
        <is>
          <t>Advocacia (Anexo IV), 3 advogados com ISS fixo de R$ 1.800 por ano cada (valor de exemplo: use o do seu município); servico_anexo_iv; receita R$ 600.000,00/ano; pró-labore R$ 36.000,00; outras desp. R$ 60.000,00; ano 2026; ISS 5%</t>
        </is>
      </c>
      <c r="D270" s="5" t="inlineStr">
        <is>
          <t>DAS</t>
        </is>
      </c>
      <c r="E270" s="7" t="n">
        <v>48780</v>
      </c>
      <c r="F270" s="8" t="n"/>
      <c r="G270" s="7">
        <f>IF(F270="","",E270-F270)</f>
        <v/>
      </c>
      <c r="H270" s="5" t="n"/>
      <c r="I270" s="6" t="n"/>
    </row>
    <row r="271">
      <c r="A271" s="5" t="inlineStr">
        <is>
          <t>ADV1-SN</t>
        </is>
      </c>
      <c r="B271" s="5" t="inlineStr">
        <is>
          <t>Simples Nacional</t>
        </is>
      </c>
      <c r="C271" s="6" t="inlineStr">
        <is>
          <t>Advocacia (Anexo IV), 3 advogados com ISS fixo de R$ 1.800 por ano cada (valor de exemplo: use o do seu município); servico_anexo_iv; receita R$ 600.000,00/ano; pró-labore R$ 36.000,00; outras desp. R$ 60.000,00; ano 2026; ISS 5%</t>
        </is>
      </c>
      <c r="D271" s="5" t="inlineStr">
        <is>
          <t>INSS patronal (fora do DAS)</t>
        </is>
      </c>
      <c r="E271" s="7" t="n">
        <v>7200</v>
      </c>
      <c r="F271" s="8" t="n"/>
      <c r="G271" s="7">
        <f>IF(F271="","",E271-F271)</f>
        <v/>
      </c>
      <c r="H271" s="5" t="n"/>
      <c r="I271" s="6" t="n"/>
    </row>
    <row r="272">
      <c r="A272" s="9" t="inlineStr">
        <is>
          <t>ADV1-SN</t>
        </is>
      </c>
      <c r="B272" s="9" t="inlineStr">
        <is>
          <t>Simples Nacional</t>
        </is>
      </c>
      <c r="C272" s="10" t="inlineStr">
        <is>
          <t>Advocacia (Anexo IV), 3 advogados com ISS fixo de R$ 1.800 por ano cada (valor de exemplo: use o do seu município); servico_anexo_iv; receita R$ 600.000,00/ano; pró-labore R$ 36.000,00; outras desp. R$ 60.000,00; ano 2026; ISS 5%</t>
        </is>
      </c>
      <c r="D272" s="9" t="inlineStr">
        <is>
          <t>TOTAL</t>
        </is>
      </c>
      <c r="E272" s="11">
        <f>SUM(E270:E271)</f>
        <v/>
      </c>
      <c r="F272" s="12" t="n"/>
      <c r="G272" s="11">
        <f>IF(F272="","",E272-F272)</f>
        <v/>
      </c>
      <c r="H272" s="9" t="n"/>
      <c r="I272" s="10" t="n"/>
    </row>
    <row r="273">
      <c r="A273" s="13" t="inlineStr">
        <is>
          <t>ADV1-LP</t>
        </is>
      </c>
      <c r="B273" s="13" t="inlineStr">
        <is>
          <t>Lucro Presumido</t>
        </is>
      </c>
      <c r="C273" s="14" t="inlineStr">
        <is>
          <t>Advocacia (Anexo IV), 3 advogados com ISS fixo de R$ 1.800 por ano cada (valor de exemplo: use o do seu município); servico_anexo_iv; receita R$ 600.000,00/ano; pró-labore R$ 36.000,00; outras desp. R$ 60.000,00; ano 2026; ISS 5%</t>
        </is>
      </c>
      <c r="D273" s="13" t="inlineStr">
        <is>
          <t>IRPJ</t>
        </is>
      </c>
      <c r="E273" s="15" t="n">
        <v>28800</v>
      </c>
      <c r="F273" s="8" t="n"/>
      <c r="G273" s="15">
        <f>IF(F273="","",E273-F273)</f>
        <v/>
      </c>
      <c r="H273" s="13" t="n"/>
      <c r="I273" s="14" t="n"/>
    </row>
    <row r="274">
      <c r="A274" s="13" t="inlineStr">
        <is>
          <t>ADV1-LP</t>
        </is>
      </c>
      <c r="B274" s="13" t="inlineStr">
        <is>
          <t>Lucro Presumido</t>
        </is>
      </c>
      <c r="C274" s="14" t="inlineStr">
        <is>
          <t>Advocacia (Anexo IV), 3 advogados com ISS fixo de R$ 1.800 por ano cada (valor de exemplo: use o do seu município); servico_anexo_iv; receita R$ 600.000,00/ano; pró-labore R$ 36.000,00; outras desp. R$ 60.000,00; ano 2026; ISS 5%</t>
        </is>
      </c>
      <c r="D274" s="13" t="inlineStr">
        <is>
          <t>CSLL</t>
        </is>
      </c>
      <c r="E274" s="15" t="n">
        <v>17280</v>
      </c>
      <c r="F274" s="8" t="n"/>
      <c r="G274" s="15">
        <f>IF(F274="","",E274-F274)</f>
        <v/>
      </c>
      <c r="H274" s="13" t="n"/>
      <c r="I274" s="14" t="n"/>
    </row>
    <row r="275">
      <c r="A275" s="13" t="inlineStr">
        <is>
          <t>ADV1-LP</t>
        </is>
      </c>
      <c r="B275" s="13" t="inlineStr">
        <is>
          <t>Lucro Presumido</t>
        </is>
      </c>
      <c r="C275" s="14" t="inlineStr">
        <is>
          <t>Advocacia (Anexo IV), 3 advogados com ISS fixo de R$ 1.800 por ano cada (valor de exemplo: use o do seu município); servico_anexo_iv; receita R$ 600.000,00/ano; pró-labore R$ 36.000,00; outras desp. R$ 60.000,00; ano 2026; ISS 5%</t>
        </is>
      </c>
      <c r="D275" s="13" t="inlineStr">
        <is>
          <t>PIS</t>
        </is>
      </c>
      <c r="E275" s="15" t="n">
        <v>3900</v>
      </c>
      <c r="F275" s="8" t="n"/>
      <c r="G275" s="15">
        <f>IF(F275="","",E275-F275)</f>
        <v/>
      </c>
      <c r="H275" s="13" t="n"/>
      <c r="I275" s="14" t="n"/>
    </row>
    <row r="276">
      <c r="A276" s="13" t="inlineStr">
        <is>
          <t>ADV1-LP</t>
        </is>
      </c>
      <c r="B276" s="13" t="inlineStr">
        <is>
          <t>Lucro Presumido</t>
        </is>
      </c>
      <c r="C276" s="14" t="inlineStr">
        <is>
          <t>Advocacia (Anexo IV), 3 advogados com ISS fixo de R$ 1.800 por ano cada (valor de exemplo: use o do seu município); servico_anexo_iv; receita R$ 600.000,00/ano; pró-labore R$ 36.000,00; outras desp. R$ 60.000,00; ano 2026; ISS 5%</t>
        </is>
      </c>
      <c r="D276" s="13" t="inlineStr">
        <is>
          <t>Cofins</t>
        </is>
      </c>
      <c r="E276" s="15" t="n">
        <v>18000</v>
      </c>
      <c r="F276" s="8" t="n"/>
      <c r="G276" s="15">
        <f>IF(F276="","",E276-F276)</f>
        <v/>
      </c>
      <c r="H276" s="13" t="n"/>
      <c r="I276" s="14" t="n"/>
    </row>
    <row r="277">
      <c r="A277" s="13" t="inlineStr">
        <is>
          <t>ADV1-LP</t>
        </is>
      </c>
      <c r="B277" s="13" t="inlineStr">
        <is>
          <t>Lucro Presumido</t>
        </is>
      </c>
      <c r="C277" s="14" t="inlineStr">
        <is>
          <t>Advocacia (Anexo IV), 3 advogados com ISS fixo de R$ 1.800 por ano cada (valor de exemplo: use o do seu município); servico_anexo_iv; receita R$ 600.000,00/ano; pró-labore R$ 36.000,00; outras desp. R$ 60.000,00; ano 2026; ISS 5%</t>
        </is>
      </c>
      <c r="D277" s="13" t="inlineStr">
        <is>
          <t>ISS</t>
        </is>
      </c>
      <c r="E277" s="15" t="n">
        <v>5400</v>
      </c>
      <c r="F277" s="8" t="n"/>
      <c r="G277" s="15">
        <f>IF(F277="","",E277-F277)</f>
        <v/>
      </c>
      <c r="H277" s="13" t="n"/>
      <c r="I277" s="14" t="n"/>
    </row>
    <row r="278">
      <c r="A278" s="13" t="inlineStr">
        <is>
          <t>ADV1-LP</t>
        </is>
      </c>
      <c r="B278" s="13" t="inlineStr">
        <is>
          <t>Lucro Presumido</t>
        </is>
      </c>
      <c r="C278" s="14" t="inlineStr">
        <is>
          <t>Advocacia (Anexo IV), 3 advogados com ISS fixo de R$ 1.800 por ano cada (valor de exemplo: use o do seu município); servico_anexo_iv; receita R$ 600.000,00/ano; pró-labore R$ 36.000,00; outras desp. R$ 60.000,00; ano 2026; ISS 5%</t>
        </is>
      </c>
      <c r="D278" s="13" t="inlineStr">
        <is>
          <t>INSS patronal</t>
        </is>
      </c>
      <c r="E278" s="15" t="n">
        <v>7200</v>
      </c>
      <c r="F278" s="8" t="n"/>
      <c r="G278" s="15">
        <f>IF(F278="","",E278-F278)</f>
        <v/>
      </c>
      <c r="H278" s="13" t="n"/>
      <c r="I278" s="14" t="n"/>
    </row>
    <row r="279">
      <c r="A279" s="16" t="inlineStr">
        <is>
          <t>ADV1-LP</t>
        </is>
      </c>
      <c r="B279" s="16" t="inlineStr">
        <is>
          <t>Lucro Presumido</t>
        </is>
      </c>
      <c r="C279" s="17" t="inlineStr">
        <is>
          <t>Advocacia (Anexo IV), 3 advogados com ISS fixo de R$ 1.800 por ano cada (valor de exemplo: use o do seu município); servico_anexo_iv; receita R$ 600.000,00/ano; pró-labore R$ 36.000,00; outras desp. R$ 60.000,00; ano 2026; ISS 5%</t>
        </is>
      </c>
      <c r="D279" s="16" t="inlineStr">
        <is>
          <t>TOTAL</t>
        </is>
      </c>
      <c r="E279" s="18">
        <f>SUM(E273:E278)</f>
        <v/>
      </c>
      <c r="F279" s="12" t="n"/>
      <c r="G279" s="18">
        <f>IF(F279="","",E279-F279)</f>
        <v/>
      </c>
      <c r="H279" s="16" t="n"/>
      <c r="I279" s="17" t="n"/>
    </row>
    <row r="280">
      <c r="A280" s="5" t="inlineStr">
        <is>
          <t>ADV1-LR</t>
        </is>
      </c>
      <c r="B280" s="5" t="inlineStr">
        <is>
          <t>Lucro Real</t>
        </is>
      </c>
      <c r="C280" s="6" t="inlineStr">
        <is>
          <t>Advocacia (Anexo IV), 3 advogados com ISS fixo de R$ 1.800 por ano cada (valor de exemplo: use o do seu município); servico_anexo_iv; receita R$ 600.000,00/ano; pró-labore R$ 36.000,00; outras desp. R$ 60.000,00; ano 2026; ISS 5%</t>
        </is>
      </c>
      <c r="D280" s="5" t="inlineStr">
        <is>
          <t>PIS</t>
        </is>
      </c>
      <c r="E280" s="7" t="n">
        <v>9900</v>
      </c>
      <c r="F280" s="8" t="n"/>
      <c r="G280" s="7">
        <f>IF(F280="","",E280-F280)</f>
        <v/>
      </c>
      <c r="H280" s="5" t="n"/>
      <c r="I280" s="6" t="n"/>
    </row>
    <row r="281">
      <c r="A281" s="5" t="inlineStr">
        <is>
          <t>ADV1-LR</t>
        </is>
      </c>
      <c r="B281" s="5" t="inlineStr">
        <is>
          <t>Lucro Real</t>
        </is>
      </c>
      <c r="C281" s="6" t="inlineStr">
        <is>
          <t>Advocacia (Anexo IV), 3 advogados com ISS fixo de R$ 1.800 por ano cada (valor de exemplo: use o do seu município); servico_anexo_iv; receita R$ 600.000,00/ano; pró-labore R$ 36.000,00; outras desp. R$ 60.000,00; ano 2026; ISS 5%</t>
        </is>
      </c>
      <c r="D281" s="5" t="inlineStr">
        <is>
          <t>Cofins</t>
        </is>
      </c>
      <c r="E281" s="7" t="n">
        <v>45600</v>
      </c>
      <c r="F281" s="8" t="n"/>
      <c r="G281" s="7">
        <f>IF(F281="","",E281-F281)</f>
        <v/>
      </c>
      <c r="H281" s="5" t="n"/>
      <c r="I281" s="6" t="n"/>
    </row>
    <row r="282">
      <c r="A282" s="5" t="inlineStr">
        <is>
          <t>ADV1-LR</t>
        </is>
      </c>
      <c r="B282" s="5" t="inlineStr">
        <is>
          <t>Lucro Real</t>
        </is>
      </c>
      <c r="C282" s="6" t="inlineStr">
        <is>
          <t>Advocacia (Anexo IV), 3 advogados com ISS fixo de R$ 1.800 por ano cada (valor de exemplo: use o do seu município); servico_anexo_iv; receita R$ 600.000,00/ano; pró-labore R$ 36.000,00; outras desp. R$ 60.000,00; ano 2026; ISS 5%</t>
        </is>
      </c>
      <c r="D282" s="5" t="inlineStr">
        <is>
          <t>ISS</t>
        </is>
      </c>
      <c r="E282" s="7" t="n">
        <v>5400</v>
      </c>
      <c r="F282" s="8" t="n"/>
      <c r="G282" s="7">
        <f>IF(F282="","",E282-F282)</f>
        <v/>
      </c>
      <c r="H282" s="5" t="n"/>
      <c r="I282" s="6" t="n"/>
    </row>
    <row r="283">
      <c r="A283" s="5" t="inlineStr">
        <is>
          <t>ADV1-LR</t>
        </is>
      </c>
      <c r="B283" s="5" t="inlineStr">
        <is>
          <t>Lucro Real</t>
        </is>
      </c>
      <c r="C283" s="6" t="inlineStr">
        <is>
          <t>Advocacia (Anexo IV), 3 advogados com ISS fixo de R$ 1.800 por ano cada (valor de exemplo: use o do seu município); servico_anexo_iv; receita R$ 600.000,00/ano; pró-labore R$ 36.000,00; outras desp. R$ 60.000,00; ano 2026; ISS 5%</t>
        </is>
      </c>
      <c r="D283" s="5" t="inlineStr">
        <is>
          <t>INSS patronal</t>
        </is>
      </c>
      <c r="E283" s="7" t="n">
        <v>7200</v>
      </c>
      <c r="F283" s="8" t="n"/>
      <c r="G283" s="7">
        <f>IF(F283="","",E283-F283)</f>
        <v/>
      </c>
      <c r="H283" s="5" t="n"/>
      <c r="I283" s="6" t="n"/>
    </row>
    <row r="284">
      <c r="A284" s="5" t="inlineStr">
        <is>
          <t>ADV1-LR</t>
        </is>
      </c>
      <c r="B284" s="5" t="inlineStr">
        <is>
          <t>Lucro Real</t>
        </is>
      </c>
      <c r="C284" s="6" t="inlineStr">
        <is>
          <t>Advocacia (Anexo IV), 3 advogados com ISS fixo de R$ 1.800 por ano cada (valor de exemplo: use o do seu município); servico_anexo_iv; receita R$ 600.000,00/ano; pró-labore R$ 36.000,00; outras desp. R$ 60.000,00; ano 2026; ISS 5%</t>
        </is>
      </c>
      <c r="D284" s="5" t="inlineStr">
        <is>
          <t>IRPJ</t>
        </is>
      </c>
      <c r="E284" s="7" t="n">
        <v>84975</v>
      </c>
      <c r="F284" s="8" t="n"/>
      <c r="G284" s="7">
        <f>IF(F284="","",E284-F284)</f>
        <v/>
      </c>
      <c r="H284" s="5" t="n"/>
      <c r="I284" s="6" t="n"/>
    </row>
    <row r="285">
      <c r="A285" s="5" t="inlineStr">
        <is>
          <t>ADV1-LR</t>
        </is>
      </c>
      <c r="B285" s="5" t="inlineStr">
        <is>
          <t>Lucro Real</t>
        </is>
      </c>
      <c r="C285" s="6" t="inlineStr">
        <is>
          <t>Advocacia (Anexo IV), 3 advogados com ISS fixo de R$ 1.800 por ano cada (valor de exemplo: use o do seu município); servico_anexo_iv; receita R$ 600.000,00/ano; pró-labore R$ 36.000,00; outras desp. R$ 60.000,00; ano 2026; ISS 5%</t>
        </is>
      </c>
      <c r="D285" s="5" t="inlineStr">
        <is>
          <t>CSLL</t>
        </is>
      </c>
      <c r="E285" s="7" t="n">
        <v>39231</v>
      </c>
      <c r="F285" s="8" t="n"/>
      <c r="G285" s="7">
        <f>IF(F285="","",E285-F285)</f>
        <v/>
      </c>
      <c r="H285" s="5" t="n"/>
      <c r="I285" s="6" t="n"/>
    </row>
    <row r="286">
      <c r="A286" s="9" t="inlineStr">
        <is>
          <t>ADV1-LR</t>
        </is>
      </c>
      <c r="B286" s="9" t="inlineStr">
        <is>
          <t>Lucro Real</t>
        </is>
      </c>
      <c r="C286" s="10" t="inlineStr">
        <is>
          <t>Advocacia (Anexo IV), 3 advogados com ISS fixo de R$ 1.800 por ano cada (valor de exemplo: use o do seu município); servico_anexo_iv; receita R$ 600.000,00/ano; pró-labore R$ 36.000,00; outras desp. R$ 60.000,00; ano 2026; ISS 5%</t>
        </is>
      </c>
      <c r="D286" s="9" t="inlineStr">
        <is>
          <t>TOTAL</t>
        </is>
      </c>
      <c r="E286" s="11">
        <f>SUM(E280:E285)</f>
        <v/>
      </c>
      <c r="F286" s="12" t="n"/>
      <c r="G286" s="11">
        <f>IF(F286="","",E286-F286)</f>
        <v/>
      </c>
      <c r="H286" s="9" t="n"/>
      <c r="I286" s="10" t="n"/>
    </row>
    <row r="287">
      <c r="A287" s="13" t="inlineStr">
        <is>
          <t>CONT1-SN</t>
        </is>
      </c>
      <c r="B287" s="13" t="inlineStr">
        <is>
          <t>Simples Nacional</t>
        </is>
      </c>
      <c r="C287" s="14" t="inlineStr">
        <is>
          <t>Escritório de serviços contábeis (Anexo III), 2 sócios com ISS fixo de R$ 1.500 por ano cada, recolhido ao Município também no Simples (valor de exemplo: use o do seu município); servico_anexo_iii; receita R$ 600.000,00/ano; pró-labore R$ 36.000,00; outras desp. R$ 60.000,00; ano 2026; ISS 5%</t>
        </is>
      </c>
      <c r="D287" s="13" t="inlineStr">
        <is>
          <t>DAS</t>
        </is>
      </c>
      <c r="E287" s="15" t="n">
        <v>42768</v>
      </c>
      <c r="F287" s="8" t="n"/>
      <c r="G287" s="15">
        <f>IF(F287="","",E287-F287)</f>
        <v/>
      </c>
      <c r="H287" s="13" t="n"/>
      <c r="I287" s="14" t="n"/>
    </row>
    <row r="288">
      <c r="A288" s="13" t="inlineStr">
        <is>
          <t>CONT1-SN</t>
        </is>
      </c>
      <c r="B288" s="13" t="inlineStr">
        <is>
          <t>Simples Nacional</t>
        </is>
      </c>
      <c r="C288" s="14" t="inlineStr">
        <is>
          <t>Escritório de serviços contábeis (Anexo III), 2 sócios com ISS fixo de R$ 1.500 por ano cada, recolhido ao Município também no Simples (valor de exemplo: use o do seu município); servico_anexo_iii; receita R$ 600.000,00/ano; pró-labore R$ 36.000,00; outras desp. R$ 60.000,00; ano 2026; ISS 5%</t>
        </is>
      </c>
      <c r="D288" s="13" t="inlineStr">
        <is>
          <t>ISS fixo (recolhido ao Município, fora do DAS)</t>
        </is>
      </c>
      <c r="E288" s="15" t="n">
        <v>3000</v>
      </c>
      <c r="F288" s="8" t="n"/>
      <c r="G288" s="15">
        <f>IF(F288="","",E288-F288)</f>
        <v/>
      </c>
      <c r="H288" s="13" t="n"/>
      <c r="I288" s="14" t="n"/>
    </row>
    <row r="289">
      <c r="A289" s="16" t="inlineStr">
        <is>
          <t>CONT1-SN</t>
        </is>
      </c>
      <c r="B289" s="16" t="inlineStr">
        <is>
          <t>Simples Nacional</t>
        </is>
      </c>
      <c r="C289" s="17" t="inlineStr">
        <is>
          <t>Escritório de serviços contábeis (Anexo III), 2 sócios com ISS fixo de R$ 1.500 por ano cada, recolhido ao Município também no Simples (valor de exemplo: use o do seu município); servico_anexo_iii; receita R$ 600.000,00/ano; pró-labore R$ 36.000,00; outras desp. R$ 60.000,00; ano 2026; ISS 5%</t>
        </is>
      </c>
      <c r="D289" s="16" t="inlineStr">
        <is>
          <t>TOTAL</t>
        </is>
      </c>
      <c r="E289" s="18">
        <f>SUM(E287:E288)</f>
        <v/>
      </c>
      <c r="F289" s="12" t="n"/>
      <c r="G289" s="18">
        <f>IF(F289="","",E289-F289)</f>
        <v/>
      </c>
      <c r="H289" s="16" t="n"/>
      <c r="I289" s="17" t="n"/>
    </row>
    <row r="290">
      <c r="A290" s="5" t="inlineStr">
        <is>
          <t>CONT1-LP</t>
        </is>
      </c>
      <c r="B290" s="5" t="inlineStr">
        <is>
          <t>Lucro Presumido</t>
        </is>
      </c>
      <c r="C290" s="6" t="inlineStr">
        <is>
          <t>Escritório de serviços contábeis (Anexo III), 2 sócios com ISS fixo de R$ 1.500 por ano cada, recolhido ao Município também no Simples (valor de exemplo: use o do seu município); servico_anexo_iii; receita R$ 600.000,00/ano; pró-labore R$ 36.000,00; outras desp. R$ 60.000,00; ano 2026; ISS 5%</t>
        </is>
      </c>
      <c r="D290" s="5" t="inlineStr">
        <is>
          <t>IRPJ</t>
        </is>
      </c>
      <c r="E290" s="7" t="n">
        <v>28800</v>
      </c>
      <c r="F290" s="8" t="n"/>
      <c r="G290" s="7">
        <f>IF(F290="","",E290-F290)</f>
        <v/>
      </c>
      <c r="H290" s="5" t="n"/>
      <c r="I290" s="6" t="n"/>
    </row>
    <row r="291">
      <c r="A291" s="5" t="inlineStr">
        <is>
          <t>CONT1-LP</t>
        </is>
      </c>
      <c r="B291" s="5" t="inlineStr">
        <is>
          <t>Lucro Presumido</t>
        </is>
      </c>
      <c r="C291" s="6" t="inlineStr">
        <is>
          <t>Escritório de serviços contábeis (Anexo III), 2 sócios com ISS fixo de R$ 1.500 por ano cada, recolhido ao Município também no Simples (valor de exemplo: use o do seu município); servico_anexo_iii; receita R$ 600.000,00/ano; pró-labore R$ 36.000,00; outras desp. R$ 60.000,00; ano 2026; ISS 5%</t>
        </is>
      </c>
      <c r="D291" s="5" t="inlineStr">
        <is>
          <t>CSLL</t>
        </is>
      </c>
      <c r="E291" s="7" t="n">
        <v>17280</v>
      </c>
      <c r="F291" s="8" t="n"/>
      <c r="G291" s="7">
        <f>IF(F291="","",E291-F291)</f>
        <v/>
      </c>
      <c r="H291" s="5" t="n"/>
      <c r="I291" s="6" t="n"/>
    </row>
    <row r="292">
      <c r="A292" s="5" t="inlineStr">
        <is>
          <t>CONT1-LP</t>
        </is>
      </c>
      <c r="B292" s="5" t="inlineStr">
        <is>
          <t>Lucro Presumido</t>
        </is>
      </c>
      <c r="C292" s="6" t="inlineStr">
        <is>
          <t>Escritório de serviços contábeis (Anexo III), 2 sócios com ISS fixo de R$ 1.500 por ano cada, recolhido ao Município também no Simples (valor de exemplo: use o do seu município); servico_anexo_iii; receita R$ 600.000,00/ano; pró-labore R$ 36.000,00; outras desp. R$ 60.000,00; ano 2026; ISS 5%</t>
        </is>
      </c>
      <c r="D292" s="5" t="inlineStr">
        <is>
          <t>PIS</t>
        </is>
      </c>
      <c r="E292" s="7" t="n">
        <v>3900</v>
      </c>
      <c r="F292" s="8" t="n"/>
      <c r="G292" s="7">
        <f>IF(F292="","",E292-F292)</f>
        <v/>
      </c>
      <c r="H292" s="5" t="n"/>
      <c r="I292" s="6" t="n"/>
    </row>
    <row r="293">
      <c r="A293" s="5" t="inlineStr">
        <is>
          <t>CONT1-LP</t>
        </is>
      </c>
      <c r="B293" s="5" t="inlineStr">
        <is>
          <t>Lucro Presumido</t>
        </is>
      </c>
      <c r="C293" s="6" t="inlineStr">
        <is>
          <t>Escritório de serviços contábeis (Anexo III), 2 sócios com ISS fixo de R$ 1.500 por ano cada, recolhido ao Município também no Simples (valor de exemplo: use o do seu município); servico_anexo_iii; receita R$ 600.000,00/ano; pró-labore R$ 36.000,00; outras desp. R$ 60.000,00; ano 2026; ISS 5%</t>
        </is>
      </c>
      <c r="D293" s="5" t="inlineStr">
        <is>
          <t>Cofins</t>
        </is>
      </c>
      <c r="E293" s="7" t="n">
        <v>18000</v>
      </c>
      <c r="F293" s="8" t="n"/>
      <c r="G293" s="7">
        <f>IF(F293="","",E293-F293)</f>
        <v/>
      </c>
      <c r="H293" s="5" t="n"/>
      <c r="I293" s="6" t="n"/>
    </row>
    <row r="294">
      <c r="A294" s="5" t="inlineStr">
        <is>
          <t>CONT1-LP</t>
        </is>
      </c>
      <c r="B294" s="5" t="inlineStr">
        <is>
          <t>Lucro Presumido</t>
        </is>
      </c>
      <c r="C294" s="6" t="inlineStr">
        <is>
          <t>Escritório de serviços contábeis (Anexo III), 2 sócios com ISS fixo de R$ 1.500 por ano cada, recolhido ao Município também no Simples (valor de exemplo: use o do seu município); servico_anexo_iii; receita R$ 600.000,00/ano; pró-labore R$ 36.000,00; outras desp. R$ 60.000,00; ano 2026; ISS 5%</t>
        </is>
      </c>
      <c r="D294" s="5" t="inlineStr">
        <is>
          <t>ISS</t>
        </is>
      </c>
      <c r="E294" s="7" t="n">
        <v>3000</v>
      </c>
      <c r="F294" s="8" t="n"/>
      <c r="G294" s="7">
        <f>IF(F294="","",E294-F294)</f>
        <v/>
      </c>
      <c r="H294" s="5" t="n"/>
      <c r="I294" s="6" t="n"/>
    </row>
    <row r="295">
      <c r="A295" s="5" t="inlineStr">
        <is>
          <t>CONT1-LP</t>
        </is>
      </c>
      <c r="B295" s="5" t="inlineStr">
        <is>
          <t>Lucro Presumido</t>
        </is>
      </c>
      <c r="C295" s="6" t="inlineStr">
        <is>
          <t>Escritório de serviços contábeis (Anexo III), 2 sócios com ISS fixo de R$ 1.500 por ano cada, recolhido ao Município também no Simples (valor de exemplo: use o do seu município); servico_anexo_iii; receita R$ 600.000,00/ano; pró-labore R$ 36.000,00; outras desp. R$ 60.000,00; ano 2026; ISS 5%</t>
        </is>
      </c>
      <c r="D295" s="5" t="inlineStr">
        <is>
          <t>INSS patronal</t>
        </is>
      </c>
      <c r="E295" s="7" t="n">
        <v>7200</v>
      </c>
      <c r="F295" s="8" t="n"/>
      <c r="G295" s="7">
        <f>IF(F295="","",E295-F295)</f>
        <v/>
      </c>
      <c r="H295" s="5" t="n"/>
      <c r="I295" s="6" t="n"/>
    </row>
    <row r="296">
      <c r="A296" s="9" t="inlineStr">
        <is>
          <t>CONT1-LP</t>
        </is>
      </c>
      <c r="B296" s="9" t="inlineStr">
        <is>
          <t>Lucro Presumido</t>
        </is>
      </c>
      <c r="C296" s="10" t="inlineStr">
        <is>
          <t>Escritório de serviços contábeis (Anexo III), 2 sócios com ISS fixo de R$ 1.500 por ano cada, recolhido ao Município também no Simples (valor de exemplo: use o do seu município); servico_anexo_iii; receita R$ 600.000,00/ano; pró-labore R$ 36.000,00; outras desp. R$ 60.000,00; ano 2026; ISS 5%</t>
        </is>
      </c>
      <c r="D296" s="9" t="inlineStr">
        <is>
          <t>TOTAL</t>
        </is>
      </c>
      <c r="E296" s="11">
        <f>SUM(E290:E295)</f>
        <v/>
      </c>
      <c r="F296" s="12" t="n"/>
      <c r="G296" s="11">
        <f>IF(F296="","",E296-F296)</f>
        <v/>
      </c>
      <c r="H296" s="9" t="n"/>
      <c r="I296" s="10" t="n"/>
    </row>
    <row r="297">
      <c r="A297" s="13" t="inlineStr">
        <is>
          <t>CONT1-LR</t>
        </is>
      </c>
      <c r="B297" s="13" t="inlineStr">
        <is>
          <t>Lucro Real</t>
        </is>
      </c>
      <c r="C297" s="14" t="inlineStr">
        <is>
          <t>Escritório de serviços contábeis (Anexo III), 2 sócios com ISS fixo de R$ 1.500 por ano cada, recolhido ao Município também no Simples (valor de exemplo: use o do seu município); servico_anexo_iii; receita R$ 600.000,00/ano; pró-labore R$ 36.000,00; outras desp. R$ 60.000,00; ano 2026; ISS 5%</t>
        </is>
      </c>
      <c r="D297" s="13" t="inlineStr">
        <is>
          <t>PIS</t>
        </is>
      </c>
      <c r="E297" s="15" t="n">
        <v>9900</v>
      </c>
      <c r="F297" s="8" t="n"/>
      <c r="G297" s="15">
        <f>IF(F297="","",E297-F297)</f>
        <v/>
      </c>
      <c r="H297" s="13" t="n"/>
      <c r="I297" s="14" t="n"/>
    </row>
    <row r="298">
      <c r="A298" s="13" t="inlineStr">
        <is>
          <t>CONT1-LR</t>
        </is>
      </c>
      <c r="B298" s="13" t="inlineStr">
        <is>
          <t>Lucro Real</t>
        </is>
      </c>
      <c r="C298" s="14" t="inlineStr">
        <is>
          <t>Escritório de serviços contábeis (Anexo III), 2 sócios com ISS fixo de R$ 1.500 por ano cada, recolhido ao Município também no Simples (valor de exemplo: use o do seu município); servico_anexo_iii; receita R$ 600.000,00/ano; pró-labore R$ 36.000,00; outras desp. R$ 60.000,00; ano 2026; ISS 5%</t>
        </is>
      </c>
      <c r="D298" s="13" t="inlineStr">
        <is>
          <t>Cofins</t>
        </is>
      </c>
      <c r="E298" s="15" t="n">
        <v>45600</v>
      </c>
      <c r="F298" s="8" t="n"/>
      <c r="G298" s="15">
        <f>IF(F298="","",E298-F298)</f>
        <v/>
      </c>
      <c r="H298" s="13" t="n"/>
      <c r="I298" s="14" t="n"/>
    </row>
    <row r="299">
      <c r="A299" s="13" t="inlineStr">
        <is>
          <t>CONT1-LR</t>
        </is>
      </c>
      <c r="B299" s="13" t="inlineStr">
        <is>
          <t>Lucro Real</t>
        </is>
      </c>
      <c r="C299" s="14" t="inlineStr">
        <is>
          <t>Escritório de serviços contábeis (Anexo III), 2 sócios com ISS fixo de R$ 1.500 por ano cada, recolhido ao Município também no Simples (valor de exemplo: use o do seu município); servico_anexo_iii; receita R$ 600.000,00/ano; pró-labore R$ 36.000,00; outras desp. R$ 60.000,00; ano 2026; ISS 5%</t>
        </is>
      </c>
      <c r="D299" s="13" t="inlineStr">
        <is>
          <t>ISS</t>
        </is>
      </c>
      <c r="E299" s="15" t="n">
        <v>3000</v>
      </c>
      <c r="F299" s="8" t="n"/>
      <c r="G299" s="15">
        <f>IF(F299="","",E299-F299)</f>
        <v/>
      </c>
      <c r="H299" s="13" t="n"/>
      <c r="I299" s="14" t="n"/>
    </row>
    <row r="300">
      <c r="A300" s="13" t="inlineStr">
        <is>
          <t>CONT1-LR</t>
        </is>
      </c>
      <c r="B300" s="13" t="inlineStr">
        <is>
          <t>Lucro Real</t>
        </is>
      </c>
      <c r="C300" s="14" t="inlineStr">
        <is>
          <t>Escritório de serviços contábeis (Anexo III), 2 sócios com ISS fixo de R$ 1.500 por ano cada, recolhido ao Município também no Simples (valor de exemplo: use o do seu município); servico_anexo_iii; receita R$ 600.000,00/ano; pró-labore R$ 36.000,00; outras desp. R$ 60.000,00; ano 2026; ISS 5%</t>
        </is>
      </c>
      <c r="D300" s="13" t="inlineStr">
        <is>
          <t>INSS patronal</t>
        </is>
      </c>
      <c r="E300" s="15" t="n">
        <v>7200</v>
      </c>
      <c r="F300" s="8" t="n"/>
      <c r="G300" s="15">
        <f>IF(F300="","",E300-F300)</f>
        <v/>
      </c>
      <c r="H300" s="13" t="n"/>
      <c r="I300" s="14" t="n"/>
    </row>
    <row r="301">
      <c r="A301" s="13" t="inlineStr">
        <is>
          <t>CONT1-LR</t>
        </is>
      </c>
      <c r="B301" s="13" t="inlineStr">
        <is>
          <t>Lucro Real</t>
        </is>
      </c>
      <c r="C301" s="14" t="inlineStr">
        <is>
          <t>Escritório de serviços contábeis (Anexo III), 2 sócios com ISS fixo de R$ 1.500 por ano cada, recolhido ao Município também no Simples (valor de exemplo: use o do seu município); servico_anexo_iii; receita R$ 600.000,00/ano; pró-labore R$ 36.000,00; outras desp. R$ 60.000,00; ano 2026; ISS 5%</t>
        </is>
      </c>
      <c r="D301" s="13" t="inlineStr">
        <is>
          <t>IRPJ</t>
        </is>
      </c>
      <c r="E301" s="15" t="n">
        <v>85575</v>
      </c>
      <c r="F301" s="8" t="n"/>
      <c r="G301" s="15">
        <f>IF(F301="","",E301-F301)</f>
        <v/>
      </c>
      <c r="H301" s="13" t="n"/>
      <c r="I301" s="14" t="n"/>
    </row>
    <row r="302">
      <c r="A302" s="13" t="inlineStr">
        <is>
          <t>CONT1-LR</t>
        </is>
      </c>
      <c r="B302" s="13" t="inlineStr">
        <is>
          <t>Lucro Real</t>
        </is>
      </c>
      <c r="C302" s="14" t="inlineStr">
        <is>
          <t>Escritório de serviços contábeis (Anexo III), 2 sócios com ISS fixo de R$ 1.500 por ano cada, recolhido ao Município também no Simples (valor de exemplo: use o do seu município); servico_anexo_iii; receita R$ 600.000,00/ano; pró-labore R$ 36.000,00; outras desp. R$ 60.000,00; ano 2026; ISS 5%</t>
        </is>
      </c>
      <c r="D302" s="13" t="inlineStr">
        <is>
          <t>CSLL</t>
        </is>
      </c>
      <c r="E302" s="15" t="n">
        <v>39447</v>
      </c>
      <c r="F302" s="8" t="n"/>
      <c r="G302" s="15">
        <f>IF(F302="","",E302-F302)</f>
        <v/>
      </c>
      <c r="H302" s="13" t="n"/>
      <c r="I302" s="14" t="n"/>
    </row>
    <row r="303">
      <c r="A303" s="16" t="inlineStr">
        <is>
          <t>CONT1-LR</t>
        </is>
      </c>
      <c r="B303" s="16" t="inlineStr">
        <is>
          <t>Lucro Real</t>
        </is>
      </c>
      <c r="C303" s="17" t="inlineStr">
        <is>
          <t>Escritório de serviços contábeis (Anexo III), 2 sócios com ISS fixo de R$ 1.500 por ano cada, recolhido ao Município também no Simples (valor de exemplo: use o do seu município); servico_anexo_iii; receita R$ 600.000,00/ano; pró-labore R$ 36.000,00; outras desp. R$ 60.000,00; ano 2026; ISS 5%</t>
        </is>
      </c>
      <c r="D303" s="16" t="inlineStr">
        <is>
          <t>TOTAL</t>
        </is>
      </c>
      <c r="E303" s="18">
        <f>SUM(E297:E302)</f>
        <v/>
      </c>
      <c r="F303" s="12" t="n"/>
      <c r="G303" s="18">
        <f>IF(F303="","",E303-F303)</f>
        <v/>
      </c>
      <c r="H303" s="16" t="n"/>
      <c r="I303" s="17" t="n"/>
    </row>
    <row r="304">
      <c r="A304" s="5" t="inlineStr">
        <is>
          <t>HOSP1-SN</t>
        </is>
      </c>
      <c r="B304" s="5" t="inlineStr">
        <is>
          <t>Simples Nacional</t>
        </is>
      </c>
      <c r="C304" s="6" t="inlineStr">
        <is>
          <t>Serviços hospitalares (fator R): presunção de 8% no IRPJ e 12% na CSLL no Presumido; servico_fator_r; receita R$ 1.200.000,00/ano; folha CLT R$ 300.000,00; pró-labore R$ 60.000,00; ano 2026; ISS 5%</t>
        </is>
      </c>
      <c r="D304" s="5" t="inlineStr">
        <is>
          <t>DAS</t>
        </is>
      </c>
      <c r="E304" s="7" t="n">
        <v>156360</v>
      </c>
      <c r="F304" s="8" t="n"/>
      <c r="G304" s="7">
        <f>IF(F304="","",E304-F304)</f>
        <v/>
      </c>
      <c r="H304" s="5" t="n"/>
      <c r="I304" s="6" t="n"/>
    </row>
    <row r="305">
      <c r="A305" s="9" t="inlineStr">
        <is>
          <t>HOSP1-SN</t>
        </is>
      </c>
      <c r="B305" s="9" t="inlineStr">
        <is>
          <t>Simples Nacional</t>
        </is>
      </c>
      <c r="C305" s="10" t="inlineStr">
        <is>
          <t>Serviços hospitalares (fator R): presunção de 8% no IRPJ e 12% na CSLL no Presumido; servico_fator_r; receita R$ 1.200.000,00/ano; folha CLT R$ 300.000,00; pró-labore R$ 60.000,00; ano 2026; ISS 5%</t>
        </is>
      </c>
      <c r="D305" s="9" t="inlineStr">
        <is>
          <t>TOTAL</t>
        </is>
      </c>
      <c r="E305" s="11">
        <f>SUM(E304:E304)</f>
        <v/>
      </c>
      <c r="F305" s="12" t="n"/>
      <c r="G305" s="11">
        <f>IF(F305="","",E305-F305)</f>
        <v/>
      </c>
      <c r="H305" s="9" t="n"/>
      <c r="I305" s="10" t="n"/>
    </row>
    <row r="306">
      <c r="A306" s="13" t="inlineStr">
        <is>
          <t>HOSP1-LP</t>
        </is>
      </c>
      <c r="B306" s="13" t="inlineStr">
        <is>
          <t>Lucro Presumido</t>
        </is>
      </c>
      <c r="C306" s="14" t="inlineStr">
        <is>
          <t>Serviços hospitalares (fator R): presunção de 8% no IRPJ e 12% na CSLL no Presumido; servico_fator_r; receita R$ 1.200.000,00/ano; folha CLT R$ 300.000,00; pró-labore R$ 60.000,00; ano 2026; ISS 5%</t>
        </is>
      </c>
      <c r="D306" s="13" t="inlineStr">
        <is>
          <t>IRPJ</t>
        </is>
      </c>
      <c r="E306" s="15" t="n">
        <v>14400</v>
      </c>
      <c r="F306" s="8" t="n"/>
      <c r="G306" s="15">
        <f>IF(F306="","",E306-F306)</f>
        <v/>
      </c>
      <c r="H306" s="13" t="n"/>
      <c r="I306" s="14" t="n"/>
    </row>
    <row r="307">
      <c r="A307" s="13" t="inlineStr">
        <is>
          <t>HOSP1-LP</t>
        </is>
      </c>
      <c r="B307" s="13" t="inlineStr">
        <is>
          <t>Lucro Presumido</t>
        </is>
      </c>
      <c r="C307" s="14" t="inlineStr">
        <is>
          <t>Serviços hospitalares (fator R): presunção de 8% no IRPJ e 12% na CSLL no Presumido; servico_fator_r; receita R$ 1.200.000,00/ano; folha CLT R$ 300.000,00; pró-labore R$ 60.000,00; ano 2026; ISS 5%</t>
        </is>
      </c>
      <c r="D307" s="13" t="inlineStr">
        <is>
          <t>CSLL</t>
        </is>
      </c>
      <c r="E307" s="15" t="n">
        <v>12960</v>
      </c>
      <c r="F307" s="8" t="n"/>
      <c r="G307" s="15">
        <f>IF(F307="","",E307-F307)</f>
        <v/>
      </c>
      <c r="H307" s="13" t="n"/>
      <c r="I307" s="14" t="n"/>
    </row>
    <row r="308">
      <c r="A308" s="13" t="inlineStr">
        <is>
          <t>HOSP1-LP</t>
        </is>
      </c>
      <c r="B308" s="13" t="inlineStr">
        <is>
          <t>Lucro Presumido</t>
        </is>
      </c>
      <c r="C308" s="14" t="inlineStr">
        <is>
          <t>Serviços hospitalares (fator R): presunção de 8% no IRPJ e 12% na CSLL no Presumido; servico_fator_r; receita R$ 1.200.000,00/ano; folha CLT R$ 300.000,00; pró-labore R$ 60.000,00; ano 2026; ISS 5%</t>
        </is>
      </c>
      <c r="D308" s="13" t="inlineStr">
        <is>
          <t>PIS</t>
        </is>
      </c>
      <c r="E308" s="15" t="n">
        <v>7800</v>
      </c>
      <c r="F308" s="8" t="n"/>
      <c r="G308" s="15">
        <f>IF(F308="","",E308-F308)</f>
        <v/>
      </c>
      <c r="H308" s="13" t="n"/>
      <c r="I308" s="14" t="n"/>
    </row>
    <row r="309">
      <c r="A309" s="13" t="inlineStr">
        <is>
          <t>HOSP1-LP</t>
        </is>
      </c>
      <c r="B309" s="13" t="inlineStr">
        <is>
          <t>Lucro Presumido</t>
        </is>
      </c>
      <c r="C309" s="14" t="inlineStr">
        <is>
          <t>Serviços hospitalares (fator R): presunção de 8% no IRPJ e 12% na CSLL no Presumido; servico_fator_r; receita R$ 1.200.000,00/ano; folha CLT R$ 300.000,00; pró-labore R$ 60.000,00; ano 2026; ISS 5%</t>
        </is>
      </c>
      <c r="D309" s="13" t="inlineStr">
        <is>
          <t>Cofins</t>
        </is>
      </c>
      <c r="E309" s="15" t="n">
        <v>36000</v>
      </c>
      <c r="F309" s="8" t="n"/>
      <c r="G309" s="15">
        <f>IF(F309="","",E309-F309)</f>
        <v/>
      </c>
      <c r="H309" s="13" t="n"/>
      <c r="I309" s="14" t="n"/>
    </row>
    <row r="310">
      <c r="A310" s="13" t="inlineStr">
        <is>
          <t>HOSP1-LP</t>
        </is>
      </c>
      <c r="B310" s="13" t="inlineStr">
        <is>
          <t>Lucro Presumido</t>
        </is>
      </c>
      <c r="C310" s="14" t="inlineStr">
        <is>
          <t>Serviços hospitalares (fator R): presunção de 8% no IRPJ e 12% na CSLL no Presumido; servico_fator_r; receita R$ 1.200.000,00/ano; folha CLT R$ 300.000,00; pró-labore R$ 60.000,00; ano 2026; ISS 5%</t>
        </is>
      </c>
      <c r="D310" s="13" t="inlineStr">
        <is>
          <t>ISS</t>
        </is>
      </c>
      <c r="E310" s="15" t="n">
        <v>60000</v>
      </c>
      <c r="F310" s="8" t="n"/>
      <c r="G310" s="15">
        <f>IF(F310="","",E310-F310)</f>
        <v/>
      </c>
      <c r="H310" s="13" t="n"/>
      <c r="I310" s="14" t="n"/>
    </row>
    <row r="311">
      <c r="A311" s="13" t="inlineStr">
        <is>
          <t>HOSP1-LP</t>
        </is>
      </c>
      <c r="B311" s="13" t="inlineStr">
        <is>
          <t>Lucro Presumido</t>
        </is>
      </c>
      <c r="C311" s="14" t="inlineStr">
        <is>
          <t>Serviços hospitalares (fator R): presunção de 8% no IRPJ e 12% na CSLL no Presumido; servico_fator_r; receita R$ 1.200.000,00/ano; folha CLT R$ 300.000,00; pró-labore R$ 60.000,00; ano 2026; ISS 5%</t>
        </is>
      </c>
      <c r="D311" s="13" t="inlineStr">
        <is>
          <t>INSS patronal</t>
        </is>
      </c>
      <c r="E311" s="15" t="n">
        <v>95400</v>
      </c>
      <c r="F311" s="8" t="n"/>
      <c r="G311" s="15">
        <f>IF(F311="","",E311-F311)</f>
        <v/>
      </c>
      <c r="H311" s="13" t="n"/>
      <c r="I311" s="14" t="n"/>
    </row>
    <row r="312">
      <c r="A312" s="16" t="inlineStr">
        <is>
          <t>HOSP1-LP</t>
        </is>
      </c>
      <c r="B312" s="16" t="inlineStr">
        <is>
          <t>Lucro Presumido</t>
        </is>
      </c>
      <c r="C312" s="17" t="inlineStr">
        <is>
          <t>Serviços hospitalares (fator R): presunção de 8% no IRPJ e 12% na CSLL no Presumido; servico_fator_r; receita R$ 1.200.000,00/ano; folha CLT R$ 300.000,00; pró-labore R$ 60.000,00; ano 2026; ISS 5%</t>
        </is>
      </c>
      <c r="D312" s="16" t="inlineStr">
        <is>
          <t>TOTAL</t>
        </is>
      </c>
      <c r="E312" s="18">
        <f>SUM(E306:E311)</f>
        <v/>
      </c>
      <c r="F312" s="12" t="n"/>
      <c r="G312" s="18">
        <f>IF(F312="","",E312-F312)</f>
        <v/>
      </c>
      <c r="H312" s="16" t="n"/>
      <c r="I312" s="17" t="n"/>
    </row>
    <row r="313">
      <c r="A313" s="5" t="inlineStr">
        <is>
          <t>HOSP1-LR</t>
        </is>
      </c>
      <c r="B313" s="5" t="inlineStr">
        <is>
          <t>Lucro Real</t>
        </is>
      </c>
      <c r="C313" s="6" t="inlineStr">
        <is>
          <t>Serviços hospitalares (fator R): presunção de 8% no IRPJ e 12% na CSLL no Presumido; servico_fator_r; receita R$ 1.200.000,00/ano; folha CLT R$ 300.000,00; pró-labore R$ 60.000,00; ano 2026; ISS 5%</t>
        </is>
      </c>
      <c r="D313" s="5" t="inlineStr">
        <is>
          <t>PIS</t>
        </is>
      </c>
      <c r="E313" s="7" t="n">
        <v>19800</v>
      </c>
      <c r="F313" s="8" t="n"/>
      <c r="G313" s="7">
        <f>IF(F313="","",E313-F313)</f>
        <v/>
      </c>
      <c r="H313" s="5" t="n"/>
      <c r="I313" s="6" t="n"/>
    </row>
    <row r="314">
      <c r="A314" s="5" t="inlineStr">
        <is>
          <t>HOSP1-LR</t>
        </is>
      </c>
      <c r="B314" s="5" t="inlineStr">
        <is>
          <t>Lucro Real</t>
        </is>
      </c>
      <c r="C314" s="6" t="inlineStr">
        <is>
          <t>Serviços hospitalares (fator R): presunção de 8% no IRPJ e 12% na CSLL no Presumido; servico_fator_r; receita R$ 1.200.000,00/ano; folha CLT R$ 300.000,00; pró-labore R$ 60.000,00; ano 2026; ISS 5%</t>
        </is>
      </c>
      <c r="D314" s="5" t="inlineStr">
        <is>
          <t>Cofins</t>
        </is>
      </c>
      <c r="E314" s="7" t="n">
        <v>91200</v>
      </c>
      <c r="F314" s="8" t="n"/>
      <c r="G314" s="7">
        <f>IF(F314="","",E314-F314)</f>
        <v/>
      </c>
      <c r="H314" s="5" t="n"/>
      <c r="I314" s="6" t="n"/>
    </row>
    <row r="315">
      <c r="A315" s="5" t="inlineStr">
        <is>
          <t>HOSP1-LR</t>
        </is>
      </c>
      <c r="B315" s="5" t="inlineStr">
        <is>
          <t>Lucro Real</t>
        </is>
      </c>
      <c r="C315" s="6" t="inlineStr">
        <is>
          <t>Serviços hospitalares (fator R): presunção de 8% no IRPJ e 12% na CSLL no Presumido; servico_fator_r; receita R$ 1.200.000,00/ano; folha CLT R$ 300.000,00; pró-labore R$ 60.000,00; ano 2026; ISS 5%</t>
        </is>
      </c>
      <c r="D315" s="5" t="inlineStr">
        <is>
          <t>ISS</t>
        </is>
      </c>
      <c r="E315" s="7" t="n">
        <v>60000</v>
      </c>
      <c r="F315" s="8" t="n"/>
      <c r="G315" s="7">
        <f>IF(F315="","",E315-F315)</f>
        <v/>
      </c>
      <c r="H315" s="5" t="n"/>
      <c r="I315" s="6" t="n"/>
    </row>
    <row r="316">
      <c r="A316" s="5" t="inlineStr">
        <is>
          <t>HOSP1-LR</t>
        </is>
      </c>
      <c r="B316" s="5" t="inlineStr">
        <is>
          <t>Lucro Real</t>
        </is>
      </c>
      <c r="C316" s="6" t="inlineStr">
        <is>
          <t>Serviços hospitalares (fator R): presunção de 8% no IRPJ e 12% na CSLL no Presumido; servico_fator_r; receita R$ 1.200.000,00/ano; folha CLT R$ 300.000,00; pró-labore R$ 60.000,00; ano 2026; ISS 5%</t>
        </is>
      </c>
      <c r="D316" s="5" t="inlineStr">
        <is>
          <t>INSS patronal</t>
        </is>
      </c>
      <c r="E316" s="7" t="n">
        <v>95400</v>
      </c>
      <c r="F316" s="8" t="n"/>
      <c r="G316" s="7">
        <f>IF(F316="","",E316-F316)</f>
        <v/>
      </c>
      <c r="H316" s="5" t="n"/>
      <c r="I316" s="6" t="n"/>
    </row>
    <row r="317">
      <c r="A317" s="5" t="inlineStr">
        <is>
          <t>HOSP1-LR</t>
        </is>
      </c>
      <c r="B317" s="5" t="inlineStr">
        <is>
          <t>Lucro Real</t>
        </is>
      </c>
      <c r="C317" s="6" t="inlineStr">
        <is>
          <t>Serviços hospitalares (fator R): presunção de 8% no IRPJ e 12% na CSLL no Presumido; servico_fator_r; receita R$ 1.200.000,00/ano; folha CLT R$ 300.000,00; pró-labore R$ 60.000,00; ano 2026; ISS 5%</t>
        </is>
      </c>
      <c r="D317" s="5" t="inlineStr">
        <is>
          <t>IRPJ</t>
        </is>
      </c>
      <c r="E317" s="7" t="n">
        <v>113400</v>
      </c>
      <c r="F317" s="8" t="n"/>
      <c r="G317" s="7">
        <f>IF(F317="","",E317-F317)</f>
        <v/>
      </c>
      <c r="H317" s="5" t="n"/>
      <c r="I317" s="6" t="n"/>
    </row>
    <row r="318">
      <c r="A318" s="5" t="inlineStr">
        <is>
          <t>HOSP1-LR</t>
        </is>
      </c>
      <c r="B318" s="5" t="inlineStr">
        <is>
          <t>Lucro Real</t>
        </is>
      </c>
      <c r="C318" s="6" t="inlineStr">
        <is>
          <t>Serviços hospitalares (fator R): presunção de 8% no IRPJ e 12% na CSLL no Presumido; servico_fator_r; receita R$ 1.200.000,00/ano; folha CLT R$ 300.000,00; pró-labore R$ 60.000,00; ano 2026; ISS 5%</t>
        </is>
      </c>
      <c r="D318" s="5" t="inlineStr">
        <is>
          <t>CSLL</t>
        </is>
      </c>
      <c r="E318" s="7" t="n">
        <v>49464</v>
      </c>
      <c r="F318" s="8" t="n"/>
      <c r="G318" s="7">
        <f>IF(F318="","",E318-F318)</f>
        <v/>
      </c>
      <c r="H318" s="5" t="n"/>
      <c r="I318" s="6" t="n"/>
    </row>
    <row r="319">
      <c r="A319" s="9" t="inlineStr">
        <is>
          <t>HOSP1-LR</t>
        </is>
      </c>
      <c r="B319" s="9" t="inlineStr">
        <is>
          <t>Lucro Real</t>
        </is>
      </c>
      <c r="C319" s="10" t="inlineStr">
        <is>
          <t>Serviços hospitalares (fator R): presunção de 8% no IRPJ e 12% na CSLL no Presumido; servico_fator_r; receita R$ 1.200.000,00/ano; folha CLT R$ 300.000,00; pró-labore R$ 60.000,00; ano 2026; ISS 5%</t>
        </is>
      </c>
      <c r="D319" s="9" t="inlineStr">
        <is>
          <t>TOTAL</t>
        </is>
      </c>
      <c r="E319" s="11">
        <f>SUM(E313:E318)</f>
        <v/>
      </c>
      <c r="F319" s="12" t="n"/>
      <c r="G319" s="11">
        <f>IF(F319="","",E319-F319)</f>
        <v/>
      </c>
      <c r="H319" s="9" t="n"/>
      <c r="I319" s="10" t="n"/>
    </row>
    <row r="320">
      <c r="A320" s="13" t="inlineStr">
        <is>
          <t>RG1-LP</t>
        </is>
      </c>
      <c r="B320" s="13" t="inlineStr">
        <is>
          <t>Lucro Presumido</t>
        </is>
      </c>
      <c r="C320" s="14" t="inlineStr">
        <is>
          <t>Serviços (fator R) em 2027: CBS e IBS no lugar de PIS e Cofins, sem compras; servico_fator_r; receita R$ 900.000,00/ano; folha CLT R$ 200.000,00; pró-labore R$ 60.000,00; ano 2027; ISS 5%</t>
        </is>
      </c>
      <c r="D320" s="13" t="inlineStr">
        <is>
          <t>IRPJ</t>
        </is>
      </c>
      <c r="E320" s="15" t="n">
        <v>45372</v>
      </c>
      <c r="F320" s="8" t="n"/>
      <c r="G320" s="15">
        <f>IF(F320="","",E320-F320)</f>
        <v/>
      </c>
      <c r="H320" s="13" t="n"/>
      <c r="I320" s="14" t="n"/>
    </row>
    <row r="321">
      <c r="A321" s="13" t="inlineStr">
        <is>
          <t>RG1-LP</t>
        </is>
      </c>
      <c r="B321" s="13" t="inlineStr">
        <is>
          <t>Lucro Presumido</t>
        </is>
      </c>
      <c r="C321" s="14" t="inlineStr">
        <is>
          <t>Serviços (fator R) em 2027: CBS e IBS no lugar de PIS e Cofins, sem compras; servico_fator_r; receita R$ 900.000,00/ano; folha CLT R$ 200.000,00; pró-labore R$ 60.000,00; ano 2027; ISS 5%</t>
        </is>
      </c>
      <c r="D321" s="13" t="inlineStr">
        <is>
          <t>CSLL</t>
        </is>
      </c>
      <c r="E321" s="15" t="n">
        <v>24973.92</v>
      </c>
      <c r="F321" s="8" t="n"/>
      <c r="G321" s="15">
        <f>IF(F321="","",E321-F321)</f>
        <v/>
      </c>
      <c r="H321" s="13" t="n"/>
      <c r="I321" s="14" t="n"/>
    </row>
    <row r="322">
      <c r="A322" s="13" t="inlineStr">
        <is>
          <t>RG1-LP</t>
        </is>
      </c>
      <c r="B322" s="13" t="inlineStr">
        <is>
          <t>Lucro Presumido</t>
        </is>
      </c>
      <c r="C322" s="14" t="inlineStr">
        <is>
          <t>Serviços (fator R) em 2027: CBS e IBS no lugar de PIS e Cofins, sem compras; servico_fator_r; receita R$ 900.000,00/ano; folha CLT R$ 200.000,00; pró-labore R$ 60.000,00; ano 2027; ISS 5%</t>
        </is>
      </c>
      <c r="D322" s="13" t="inlineStr">
        <is>
          <t>CBS</t>
        </is>
      </c>
      <c r="E322" s="15" t="n">
        <v>71527.05</v>
      </c>
      <c r="F322" s="8" t="n"/>
      <c r="G322" s="15">
        <f>IF(F322="","",E322-F322)</f>
        <v/>
      </c>
      <c r="H322" s="13" t="n"/>
      <c r="I322" s="14" t="n"/>
    </row>
    <row r="323">
      <c r="A323" s="13" t="inlineStr">
        <is>
          <t>RG1-LP</t>
        </is>
      </c>
      <c r="B323" s="13" t="inlineStr">
        <is>
          <t>Lucro Presumido</t>
        </is>
      </c>
      <c r="C323" s="14" t="inlineStr">
        <is>
          <t>Serviços (fator R) em 2027: CBS e IBS no lugar de PIS e Cofins, sem compras; servico_fator_r; receita R$ 900.000,00/ano; folha CLT R$ 200.000,00; pró-labore R$ 60.000,00; ano 2027; ISS 5%</t>
        </is>
      </c>
      <c r="D323" s="13" t="inlineStr">
        <is>
          <t>IBS</t>
        </is>
      </c>
      <c r="E323" s="15" t="n">
        <v>822.15</v>
      </c>
      <c r="F323" s="8" t="n"/>
      <c r="G323" s="15">
        <f>IF(F323="","",E323-F323)</f>
        <v/>
      </c>
      <c r="H323" s="13" t="n"/>
      <c r="I323" s="14" t="n"/>
    </row>
    <row r="324">
      <c r="A324" s="13" t="inlineStr">
        <is>
          <t>RG1-LP</t>
        </is>
      </c>
      <c r="B324" s="13" t="inlineStr">
        <is>
          <t>Lucro Presumido</t>
        </is>
      </c>
      <c r="C324" s="14" t="inlineStr">
        <is>
          <t>Serviços (fator R) em 2027: CBS e IBS no lugar de PIS e Cofins, sem compras; servico_fator_r; receita R$ 900.000,00/ano; folha CLT R$ 200.000,00; pró-labore R$ 60.000,00; ano 2027; ISS 5%</t>
        </is>
      </c>
      <c r="D324" s="13" t="inlineStr">
        <is>
          <t>ISS</t>
        </is>
      </c>
      <c r="E324" s="15" t="n">
        <v>45000</v>
      </c>
      <c r="F324" s="8" t="n"/>
      <c r="G324" s="15">
        <f>IF(F324="","",E324-F324)</f>
        <v/>
      </c>
      <c r="H324" s="13" t="n"/>
      <c r="I324" s="14" t="n"/>
    </row>
    <row r="325">
      <c r="A325" s="13" t="inlineStr">
        <is>
          <t>RG1-LP</t>
        </is>
      </c>
      <c r="B325" s="13" t="inlineStr">
        <is>
          <t>Lucro Presumido</t>
        </is>
      </c>
      <c r="C325" s="14" t="inlineStr">
        <is>
          <t>Serviços (fator R) em 2027: CBS e IBS no lugar de PIS e Cofins, sem compras; servico_fator_r; receita R$ 900.000,00/ano; folha CLT R$ 200.000,00; pró-labore R$ 60.000,00; ano 2027; ISS 5%</t>
        </is>
      </c>
      <c r="D325" s="13" t="inlineStr">
        <is>
          <t>INSS patronal</t>
        </is>
      </c>
      <c r="E325" s="15" t="n">
        <v>67600</v>
      </c>
      <c r="F325" s="8" t="n"/>
      <c r="G325" s="15">
        <f>IF(F325="","",E325-F325)</f>
        <v/>
      </c>
      <c r="H325" s="13" t="n"/>
      <c r="I325" s="14" t="n"/>
    </row>
    <row r="326">
      <c r="A326" s="16" t="inlineStr">
        <is>
          <t>RG1-LP</t>
        </is>
      </c>
      <c r="B326" s="16" t="inlineStr">
        <is>
          <t>Lucro Presumido</t>
        </is>
      </c>
      <c r="C326" s="17" t="inlineStr">
        <is>
          <t>Serviços (fator R) em 2027: CBS e IBS no lugar de PIS e Cofins, sem compras; servico_fator_r; receita R$ 900.000,00/ano; folha CLT R$ 200.000,00; pró-labore R$ 60.000,00; ano 2027; ISS 5%</t>
        </is>
      </c>
      <c r="D326" s="16" t="inlineStr">
        <is>
          <t>TOTAL</t>
        </is>
      </c>
      <c r="E326" s="18">
        <f>SUM(E320:E325)</f>
        <v/>
      </c>
      <c r="F326" s="12" t="n"/>
      <c r="G326" s="18">
        <f>IF(F326="","",E326-F326)</f>
        <v/>
      </c>
      <c r="H326" s="16" t="n"/>
      <c r="I326" s="17" t="n"/>
    </row>
    <row r="327">
      <c r="A327" s="5" t="inlineStr">
        <is>
          <t>RG1-LR</t>
        </is>
      </c>
      <c r="B327" s="5" t="inlineStr">
        <is>
          <t>Lucro Real</t>
        </is>
      </c>
      <c r="C327" s="6" t="inlineStr">
        <is>
          <t>Serviços (fator R) em 2027: CBS e IBS no lugar de PIS e Cofins, sem compras; servico_fator_r; receita R$ 900.000,00/ano; folha CLT R$ 200.000,00; pró-labore R$ 60.000,00; ano 2027; ISS 5%</t>
        </is>
      </c>
      <c r="D327" s="5" t="inlineStr">
        <is>
          <t>CBS</t>
        </is>
      </c>
      <c r="E327" s="7" t="n">
        <v>67142.25</v>
      </c>
      <c r="F327" s="8" t="n"/>
      <c r="G327" s="7">
        <f>IF(F327="","",E327-F327)</f>
        <v/>
      </c>
      <c r="H327" s="5" t="n"/>
      <c r="I327" s="6" t="n"/>
    </row>
    <row r="328">
      <c r="A328" s="5" t="inlineStr">
        <is>
          <t>RG1-LR</t>
        </is>
      </c>
      <c r="B328" s="5" t="inlineStr">
        <is>
          <t>Lucro Real</t>
        </is>
      </c>
      <c r="C328" s="6" t="inlineStr">
        <is>
          <t>Serviços (fator R) em 2027: CBS e IBS no lugar de PIS e Cofins, sem compras; servico_fator_r; receita R$ 900.000,00/ano; folha CLT R$ 200.000,00; pró-labore R$ 60.000,00; ano 2027; ISS 5%</t>
        </is>
      </c>
      <c r="D328" s="5" t="inlineStr">
        <is>
          <t>IBS</t>
        </is>
      </c>
      <c r="E328" s="7" t="n">
        <v>771.75</v>
      </c>
      <c r="F328" s="8" t="n"/>
      <c r="G328" s="7">
        <f>IF(F328="","",E328-F328)</f>
        <v/>
      </c>
      <c r="H328" s="5" t="n"/>
      <c r="I328" s="6" t="n"/>
    </row>
    <row r="329">
      <c r="A329" s="5" t="inlineStr">
        <is>
          <t>RG1-LR</t>
        </is>
      </c>
      <c r="B329" s="5" t="inlineStr">
        <is>
          <t>Lucro Real</t>
        </is>
      </c>
      <c r="C329" s="6" t="inlineStr">
        <is>
          <t>Serviços (fator R) em 2027: CBS e IBS no lugar de PIS e Cofins, sem compras; servico_fator_r; receita R$ 900.000,00/ano; folha CLT R$ 200.000,00; pró-labore R$ 60.000,00; ano 2027; ISS 5%</t>
        </is>
      </c>
      <c r="D329" s="5" t="inlineStr">
        <is>
          <t>ISS</t>
        </is>
      </c>
      <c r="E329" s="7" t="n">
        <v>45000</v>
      </c>
      <c r="F329" s="8" t="n"/>
      <c r="G329" s="7">
        <f>IF(F329="","",E329-F329)</f>
        <v/>
      </c>
      <c r="H329" s="5" t="n"/>
      <c r="I329" s="6" t="n"/>
    </row>
    <row r="330">
      <c r="A330" s="5" t="inlineStr">
        <is>
          <t>RG1-LR</t>
        </is>
      </c>
      <c r="B330" s="5" t="inlineStr">
        <is>
          <t>Lucro Real</t>
        </is>
      </c>
      <c r="C330" s="6" t="inlineStr">
        <is>
          <t>Serviços (fator R) em 2027: CBS e IBS no lugar de PIS e Cofins, sem compras; servico_fator_r; receita R$ 900.000,00/ano; folha CLT R$ 200.000,00; pró-labore R$ 60.000,00; ano 2027; ISS 5%</t>
        </is>
      </c>
      <c r="D330" s="5" t="inlineStr">
        <is>
          <t>INSS patronal</t>
        </is>
      </c>
      <c r="E330" s="7" t="n">
        <v>67600</v>
      </c>
      <c r="F330" s="8" t="n"/>
      <c r="G330" s="7">
        <f>IF(F330="","",E330-F330)</f>
        <v/>
      </c>
      <c r="H330" s="5" t="n"/>
      <c r="I330" s="6" t="n"/>
    </row>
    <row r="331">
      <c r="A331" s="5" t="inlineStr">
        <is>
          <t>RG1-LR</t>
        </is>
      </c>
      <c r="B331" s="5" t="inlineStr">
        <is>
          <t>Lucro Real</t>
        </is>
      </c>
      <c r="C331" s="6" t="inlineStr">
        <is>
          <t>Serviços (fator R) em 2027: CBS e IBS no lugar de PIS e Cofins, sem compras; servico_fator_r; receita R$ 900.000,00/ano; folha CLT R$ 200.000,00; pró-labore R$ 60.000,00; ano 2027; ISS 5%</t>
        </is>
      </c>
      <c r="D331" s="5" t="inlineStr">
        <is>
          <t>IRPJ</t>
        </is>
      </c>
      <c r="E331" s="7" t="n">
        <v>83037.5</v>
      </c>
      <c r="F331" s="8" t="n"/>
      <c r="G331" s="7">
        <f>IF(F331="","",E331-F331)</f>
        <v/>
      </c>
      <c r="H331" s="5" t="n"/>
      <c r="I331" s="6" t="n"/>
    </row>
    <row r="332">
      <c r="A332" s="5" t="inlineStr">
        <is>
          <t>RG1-LR</t>
        </is>
      </c>
      <c r="B332" s="5" t="inlineStr">
        <is>
          <t>Lucro Real</t>
        </is>
      </c>
      <c r="C332" s="6" t="inlineStr">
        <is>
          <t>Serviços (fator R) em 2027: CBS e IBS no lugar de PIS e Cofins, sem compras; servico_fator_r; receita R$ 900.000,00/ano; folha CLT R$ 200.000,00; pró-labore R$ 60.000,00; ano 2027; ISS 5%</t>
        </is>
      </c>
      <c r="D332" s="5" t="inlineStr">
        <is>
          <t>CSLL</t>
        </is>
      </c>
      <c r="E332" s="7" t="n">
        <v>38533.5</v>
      </c>
      <c r="F332" s="8" t="n"/>
      <c r="G332" s="7">
        <f>IF(F332="","",E332-F332)</f>
        <v/>
      </c>
      <c r="H332" s="5" t="n"/>
      <c r="I332" s="6" t="n"/>
    </row>
    <row r="333">
      <c r="A333" s="9" t="inlineStr">
        <is>
          <t>RG1-LR</t>
        </is>
      </c>
      <c r="B333" s="9" t="inlineStr">
        <is>
          <t>Lucro Real</t>
        </is>
      </c>
      <c r="C333" s="10" t="inlineStr">
        <is>
          <t>Serviços (fator R) em 2027: CBS e IBS no lugar de PIS e Cofins, sem compras; servico_fator_r; receita R$ 900.000,00/ano; folha CLT R$ 200.000,00; pró-labore R$ 60.000,00; ano 2027; ISS 5%</t>
        </is>
      </c>
      <c r="D333" s="9" t="inlineStr">
        <is>
          <t>TOTAL</t>
        </is>
      </c>
      <c r="E333" s="11">
        <f>SUM(E327:E332)</f>
        <v/>
      </c>
      <c r="F333" s="12" t="n"/>
      <c r="G333" s="11">
        <f>IF(F333="","",E333-F333)</f>
        <v/>
      </c>
      <c r="H333" s="9" t="n"/>
      <c r="I333" s="10" t="n"/>
    </row>
    <row r="334">
      <c r="A334" s="13" t="inlineStr">
        <is>
          <t>RG2-LP</t>
        </is>
      </c>
      <c r="B334" s="13" t="inlineStr">
        <is>
          <t>Lucro Presumido</t>
        </is>
      </c>
      <c r="C334" s="14" t="inlineStr">
        <is>
          <t>Comércio em 2027 com compras de R$ 400.000: crédito de CBS e IBS (e de ICMS) abate o pagamento; comercio; receita R$ 1.200.000,00/ano; folha CLT R$ 120.000,00; pró-labore R$ 60.000,00; compras R$ 400.000,00; ano 2027; ICMS 18%</t>
        </is>
      </c>
      <c r="D334" s="13" t="inlineStr">
        <is>
          <t>IRPJ</t>
        </is>
      </c>
      <c r="E334" s="15" t="n">
        <v>13874.4</v>
      </c>
      <c r="F334" s="8" t="n"/>
      <c r="G334" s="15">
        <f>IF(F334="","",E334-F334)</f>
        <v/>
      </c>
      <c r="H334" s="13" t="n"/>
      <c r="I334" s="14" t="n"/>
    </row>
    <row r="335">
      <c r="A335" s="13" t="inlineStr">
        <is>
          <t>RG2-LP</t>
        </is>
      </c>
      <c r="B335" s="13" t="inlineStr">
        <is>
          <t>Lucro Presumido</t>
        </is>
      </c>
      <c r="C335" s="14" t="inlineStr">
        <is>
          <t>Comércio em 2027 com compras de R$ 400.000: crédito de CBS e IBS (e de ICMS) abate o pagamento; comercio; receita R$ 1.200.000,00/ano; folha CLT R$ 120.000,00; pró-labore R$ 60.000,00; compras R$ 400.000,00; ano 2027; ICMS 18%</t>
        </is>
      </c>
      <c r="D335" s="13" t="inlineStr">
        <is>
          <t>CSLL</t>
        </is>
      </c>
      <c r="E335" s="15" t="n">
        <v>12486.96</v>
      </c>
      <c r="F335" s="8" t="n"/>
      <c r="G335" s="15">
        <f>IF(F335="","",E335-F335)</f>
        <v/>
      </c>
      <c r="H335" s="13" t="n"/>
      <c r="I335" s="14" t="n"/>
    </row>
    <row r="336">
      <c r="A336" s="13" t="inlineStr">
        <is>
          <t>RG2-LP</t>
        </is>
      </c>
      <c r="B336" s="13" t="inlineStr">
        <is>
          <t>Lucro Presumido</t>
        </is>
      </c>
      <c r="C336" s="14" t="inlineStr">
        <is>
          <t>Comércio em 2027 com compras de R$ 400.000: crédito de CBS e IBS (e de ICMS) abate o pagamento; comercio; receita R$ 1.200.000,00/ano; folha CLT R$ 120.000,00; pró-labore R$ 60.000,00; compras R$ 400.000,00; ano 2027; ICMS 18%</t>
        </is>
      </c>
      <c r="D336" s="13" t="inlineStr">
        <is>
          <t>CBS</t>
        </is>
      </c>
      <c r="E336" s="15" t="n">
        <v>56480.4</v>
      </c>
      <c r="F336" s="8" t="n"/>
      <c r="G336" s="15">
        <f>IF(F336="","",E336-F336)</f>
        <v/>
      </c>
      <c r="H336" s="13" t="n"/>
      <c r="I336" s="14" t="n"/>
    </row>
    <row r="337">
      <c r="A337" s="13" t="inlineStr">
        <is>
          <t>RG2-LP</t>
        </is>
      </c>
      <c r="B337" s="13" t="inlineStr">
        <is>
          <t>Lucro Presumido</t>
        </is>
      </c>
      <c r="C337" s="14" t="inlineStr">
        <is>
          <t>Comércio em 2027 com compras de R$ 400.000: crédito de CBS e IBS (e de ICMS) abate o pagamento; comercio; receita R$ 1.200.000,00/ano; folha CLT R$ 120.000,00; pró-labore R$ 60.000,00; compras R$ 400.000,00; ano 2027; ICMS 18%</t>
        </is>
      </c>
      <c r="D337" s="13" t="inlineStr">
        <is>
          <t>IBS</t>
        </is>
      </c>
      <c r="E337" s="15" t="n">
        <v>649.2</v>
      </c>
      <c r="F337" s="8" t="n"/>
      <c r="G337" s="15">
        <f>IF(F337="","",E337-F337)</f>
        <v/>
      </c>
      <c r="H337" s="13" t="n"/>
      <c r="I337" s="14" t="n"/>
    </row>
    <row r="338">
      <c r="A338" s="13" t="inlineStr">
        <is>
          <t>RG2-LP</t>
        </is>
      </c>
      <c r="B338" s="13" t="inlineStr">
        <is>
          <t>Lucro Presumido</t>
        </is>
      </c>
      <c r="C338" s="14" t="inlineStr">
        <is>
          <t>Comércio em 2027 com compras de R$ 400.000: crédito de CBS e IBS (e de ICMS) abate o pagamento; comercio; receita R$ 1.200.000,00/ano; folha CLT R$ 120.000,00; pró-labore R$ 60.000,00; compras R$ 400.000,00; ano 2027; ICMS 18%</t>
        </is>
      </c>
      <c r="D338" s="13" t="inlineStr">
        <is>
          <t>ICMS</t>
        </is>
      </c>
      <c r="E338" s="15" t="n">
        <v>144000</v>
      </c>
      <c r="F338" s="8" t="n"/>
      <c r="G338" s="15">
        <f>IF(F338="","",E338-F338)</f>
        <v/>
      </c>
      <c r="H338" s="13" t="n"/>
      <c r="I338" s="14" t="n"/>
    </row>
    <row r="339">
      <c r="A339" s="13" t="inlineStr">
        <is>
          <t>RG2-LP</t>
        </is>
      </c>
      <c r="B339" s="13" t="inlineStr">
        <is>
          <t>Lucro Presumido</t>
        </is>
      </c>
      <c r="C339" s="14" t="inlineStr">
        <is>
          <t>Comércio em 2027 com compras de R$ 400.000: crédito de CBS e IBS (e de ICMS) abate o pagamento; comercio; receita R$ 1.200.000,00/ano; folha CLT R$ 120.000,00; pró-labore R$ 60.000,00; compras R$ 400.000,00; ano 2027; ICMS 18%</t>
        </is>
      </c>
      <c r="D339" s="13" t="inlineStr">
        <is>
          <t>INSS patronal</t>
        </is>
      </c>
      <c r="E339" s="15" t="n">
        <v>45360</v>
      </c>
      <c r="F339" s="8" t="n"/>
      <c r="G339" s="15">
        <f>IF(F339="","",E339-F339)</f>
        <v/>
      </c>
      <c r="H339" s="13" t="n"/>
      <c r="I339" s="14" t="n"/>
    </row>
    <row r="340">
      <c r="A340" s="16" t="inlineStr">
        <is>
          <t>RG2-LP</t>
        </is>
      </c>
      <c r="B340" s="16" t="inlineStr">
        <is>
          <t>Lucro Presumido</t>
        </is>
      </c>
      <c r="C340" s="17" t="inlineStr">
        <is>
          <t>Comércio em 2027 com compras de R$ 400.000: crédito de CBS e IBS (e de ICMS) abate o pagamento; comercio; receita R$ 1.200.000,00/ano; folha CLT R$ 120.000,00; pró-labore R$ 60.000,00; compras R$ 400.000,00; ano 2027; ICMS 18%</t>
        </is>
      </c>
      <c r="D340" s="16" t="inlineStr">
        <is>
          <t>TOTAL</t>
        </is>
      </c>
      <c r="E340" s="18">
        <f>SUM(E334:E339)</f>
        <v/>
      </c>
      <c r="F340" s="12" t="n"/>
      <c r="G340" s="18">
        <f>IF(F340="","",E340-F340)</f>
        <v/>
      </c>
      <c r="H340" s="16" t="n"/>
      <c r="I340" s="17" t="n"/>
    </row>
    <row r="341">
      <c r="A341" s="5" t="inlineStr">
        <is>
          <t>RG2-LR</t>
        </is>
      </c>
      <c r="B341" s="5" t="inlineStr">
        <is>
          <t>Lucro Real</t>
        </is>
      </c>
      <c r="C341" s="6" t="inlineStr">
        <is>
          <t>Comércio em 2027 com compras de R$ 400.000: crédito de CBS e IBS (e de ICMS) abate o pagamento; comercio; receita R$ 1.200.000,00/ano; folha CLT R$ 120.000,00; pró-labore R$ 60.000,00; compras R$ 400.000,00; ano 2027; ICMS 18%</t>
        </is>
      </c>
      <c r="D341" s="5" t="inlineStr">
        <is>
          <t>CBS</t>
        </is>
      </c>
      <c r="E341" s="7" t="n">
        <v>50634</v>
      </c>
      <c r="F341" s="8" t="n"/>
      <c r="G341" s="7">
        <f>IF(F341="","",E341-F341)</f>
        <v/>
      </c>
      <c r="H341" s="5" t="n"/>
      <c r="I341" s="6" t="n"/>
    </row>
    <row r="342">
      <c r="A342" s="5" t="inlineStr">
        <is>
          <t>RG2-LR</t>
        </is>
      </c>
      <c r="B342" s="5" t="inlineStr">
        <is>
          <t>Lucro Real</t>
        </is>
      </c>
      <c r="C342" s="6" t="inlineStr">
        <is>
          <t>Comércio em 2027 com compras de R$ 400.000: crédito de CBS e IBS (e de ICMS) abate o pagamento; comercio; receita R$ 1.200.000,00/ano; folha CLT R$ 120.000,00; pró-labore R$ 60.000,00; compras R$ 400.000,00; ano 2027; ICMS 18%</t>
        </is>
      </c>
      <c r="D342" s="5" t="inlineStr">
        <is>
          <t>IBS</t>
        </is>
      </c>
      <c r="E342" s="7" t="n">
        <v>582</v>
      </c>
      <c r="F342" s="8" t="n"/>
      <c r="G342" s="7">
        <f>IF(F342="","",E342-F342)</f>
        <v/>
      </c>
      <c r="H342" s="5" t="n"/>
      <c r="I342" s="6" t="n"/>
    </row>
    <row r="343">
      <c r="A343" s="5" t="inlineStr">
        <is>
          <t>RG2-LR</t>
        </is>
      </c>
      <c r="B343" s="5" t="inlineStr">
        <is>
          <t>Lucro Real</t>
        </is>
      </c>
      <c r="C343" s="6" t="inlineStr">
        <is>
          <t>Comércio em 2027 com compras de R$ 400.000: crédito de CBS e IBS (e de ICMS) abate o pagamento; comercio; receita R$ 1.200.000,00/ano; folha CLT R$ 120.000,00; pró-labore R$ 60.000,00; compras R$ 400.000,00; ano 2027; ICMS 18%</t>
        </is>
      </c>
      <c r="D343" s="5" t="inlineStr">
        <is>
          <t>ICMS</t>
        </is>
      </c>
      <c r="E343" s="7" t="n">
        <v>144000</v>
      </c>
      <c r="F343" s="8" t="n"/>
      <c r="G343" s="7">
        <f>IF(F343="","",E343-F343)</f>
        <v/>
      </c>
      <c r="H343" s="5" t="n"/>
      <c r="I343" s="6" t="n"/>
    </row>
    <row r="344">
      <c r="A344" s="5" t="inlineStr">
        <is>
          <t>RG2-LR</t>
        </is>
      </c>
      <c r="B344" s="5" t="inlineStr">
        <is>
          <t>Lucro Real</t>
        </is>
      </c>
      <c r="C344" s="6" t="inlineStr">
        <is>
          <t>Comércio em 2027 com compras de R$ 400.000: crédito de CBS e IBS (e de ICMS) abate o pagamento; comercio; receita R$ 1.200.000,00/ano; folha CLT R$ 120.000,00; pró-labore R$ 60.000,00; compras R$ 400.000,00; ano 2027; ICMS 18%</t>
        </is>
      </c>
      <c r="D344" s="5" t="inlineStr">
        <is>
          <t>INSS patronal</t>
        </is>
      </c>
      <c r="E344" s="7" t="n">
        <v>45360</v>
      </c>
      <c r="F344" s="8" t="n"/>
      <c r="G344" s="7">
        <f>IF(F344="","",E344-F344)</f>
        <v/>
      </c>
      <c r="H344" s="5" t="n"/>
      <c r="I344" s="6" t="n"/>
    </row>
    <row r="345">
      <c r="A345" s="5" t="inlineStr">
        <is>
          <t>RG2-LR</t>
        </is>
      </c>
      <c r="B345" s="5" t="inlineStr">
        <is>
          <t>Lucro Real</t>
        </is>
      </c>
      <c r="C345" s="6" t="inlineStr">
        <is>
          <t>Comércio em 2027 com compras de R$ 400.000: crédito de CBS e IBS (e de ICMS) abate o pagamento; comercio; receita R$ 1.200.000,00/ano; folha CLT R$ 120.000,00; pró-labore R$ 60.000,00; compras R$ 400.000,00; ano 2027; ICMS 18%</t>
        </is>
      </c>
      <c r="D345" s="5" t="inlineStr">
        <is>
          <t>IRPJ</t>
        </is>
      </c>
      <c r="E345" s="7" t="n">
        <v>59912</v>
      </c>
      <c r="F345" s="8" t="n"/>
      <c r="G345" s="7">
        <f>IF(F345="","",E345-F345)</f>
        <v/>
      </c>
      <c r="H345" s="5" t="n"/>
      <c r="I345" s="6" t="n"/>
    </row>
    <row r="346">
      <c r="A346" s="5" t="inlineStr">
        <is>
          <t>RG2-LR</t>
        </is>
      </c>
      <c r="B346" s="5" t="inlineStr">
        <is>
          <t>Lucro Real</t>
        </is>
      </c>
      <c r="C346" s="6" t="inlineStr">
        <is>
          <t>Comércio em 2027 com compras de R$ 400.000: crédito de CBS e IBS (e de ICMS) abate o pagamento; comercio; receita R$ 1.200.000,00/ano; folha CLT R$ 120.000,00; pró-labore R$ 60.000,00; compras R$ 400.000,00; ano 2027; ICMS 18%</t>
        </is>
      </c>
      <c r="D346" s="5" t="inlineStr">
        <is>
          <t>CSLL</t>
        </is>
      </c>
      <c r="E346" s="7" t="n">
        <v>30208.32</v>
      </c>
      <c r="F346" s="8" t="n"/>
      <c r="G346" s="7">
        <f>IF(F346="","",E346-F346)</f>
        <v/>
      </c>
      <c r="H346" s="5" t="n"/>
      <c r="I346" s="6" t="n"/>
    </row>
    <row r="347">
      <c r="A347" s="9" t="inlineStr">
        <is>
          <t>RG2-LR</t>
        </is>
      </c>
      <c r="B347" s="9" t="inlineStr">
        <is>
          <t>Lucro Real</t>
        </is>
      </c>
      <c r="C347" s="10" t="inlineStr">
        <is>
          <t>Comércio em 2027 com compras de R$ 400.000: crédito de CBS e IBS (e de ICMS) abate o pagamento; comercio; receita R$ 1.200.000,00/ano; folha CLT R$ 120.000,00; pró-labore R$ 60.000,00; compras R$ 400.000,00; ano 2027; ICMS 18%</t>
        </is>
      </c>
      <c r="D347" s="9" t="inlineStr">
        <is>
          <t>TOTAL</t>
        </is>
      </c>
      <c r="E347" s="11">
        <f>SUM(E341:E346)</f>
        <v/>
      </c>
      <c r="F347" s="12" t="n"/>
      <c r="G347" s="11">
        <f>IF(F347="","",E347-F347)</f>
        <v/>
      </c>
      <c r="H347" s="9" t="n"/>
      <c r="I347" s="10" t="n"/>
    </row>
    <row r="348">
      <c r="A348" s="13" t="inlineStr">
        <is>
          <t>RG3-LP</t>
        </is>
      </c>
      <c r="B348" s="13" t="inlineStr">
        <is>
          <t>Lucro Presumido</t>
        </is>
      </c>
      <c r="C348" s="14" t="inlineStr">
        <is>
          <t>Serviços (fator R) em 2030: ISS em 80% e IBS em 20% da alíquota final; servico_fator_r; receita R$ 900.000,00/ano; folha CLT R$ 200.000,00; pró-labore R$ 60.000,00; ano 2030; ISS 5%</t>
        </is>
      </c>
      <c r="D348" s="13" t="inlineStr">
        <is>
          <t>IRPJ</t>
        </is>
      </c>
      <c r="E348" s="15" t="n">
        <v>44652</v>
      </c>
      <c r="F348" s="8" t="n"/>
      <c r="G348" s="15">
        <f>IF(F348="","",E348-F348)</f>
        <v/>
      </c>
      <c r="H348" s="13" t="n"/>
      <c r="I348" s="14" t="n"/>
    </row>
    <row r="349">
      <c r="A349" s="13" t="inlineStr">
        <is>
          <t>RG3-LP</t>
        </is>
      </c>
      <c r="B349" s="13" t="inlineStr">
        <is>
          <t>Lucro Presumido</t>
        </is>
      </c>
      <c r="C349" s="14" t="inlineStr">
        <is>
          <t>Serviços (fator R) em 2030: ISS em 80% e IBS em 20% da alíquota final; servico_fator_r; receita R$ 900.000,00/ano; folha CLT R$ 200.000,00; pró-labore R$ 60.000,00; ano 2030; ISS 5%</t>
        </is>
      </c>
      <c r="D349" s="13" t="inlineStr">
        <is>
          <t>CSLL</t>
        </is>
      </c>
      <c r="E349" s="15" t="n">
        <v>24714.72</v>
      </c>
      <c r="F349" s="8" t="n"/>
      <c r="G349" s="15">
        <f>IF(F349="","",E349-F349)</f>
        <v/>
      </c>
      <c r="H349" s="13" t="n"/>
      <c r="I349" s="14" t="n"/>
    </row>
    <row r="350">
      <c r="A350" s="13" t="inlineStr">
        <is>
          <t>RG3-LP</t>
        </is>
      </c>
      <c r="B350" s="13" t="inlineStr">
        <is>
          <t>Lucro Presumido</t>
        </is>
      </c>
      <c r="C350" s="14" t="inlineStr">
        <is>
          <t>Serviços (fator R) em 2030: ISS em 80% e IBS em 20% da alíquota final; servico_fator_r; receita R$ 900.000,00/ano; folha CLT R$ 200.000,00; pró-labore R$ 60.000,00; ano 2030; ISS 5%</t>
        </is>
      </c>
      <c r="D350" s="13" t="inlineStr">
        <is>
          <t>CBS</t>
        </is>
      </c>
      <c r="E350" s="15" t="n">
        <v>72349.2</v>
      </c>
      <c r="F350" s="8" t="n"/>
      <c r="G350" s="15">
        <f>IF(F350="","",E350-F350)</f>
        <v/>
      </c>
      <c r="H350" s="13" t="n"/>
      <c r="I350" s="14" t="n"/>
    </row>
    <row r="351">
      <c r="A351" s="13" t="inlineStr">
        <is>
          <t>RG3-LP</t>
        </is>
      </c>
      <c r="B351" s="13" t="inlineStr">
        <is>
          <t>Lucro Presumido</t>
        </is>
      </c>
      <c r="C351" s="14" t="inlineStr">
        <is>
          <t>Serviços (fator R) em 2030: ISS em 80% e IBS em 20% da alíquota final; servico_fator_r; receita R$ 900.000,00/ano; folha CLT R$ 200.000,00; pró-labore R$ 60.000,00; ano 2030; ISS 5%</t>
        </is>
      </c>
      <c r="D351" s="13" t="inlineStr">
        <is>
          <t>IBS</t>
        </is>
      </c>
      <c r="E351" s="15" t="n">
        <v>29104.11</v>
      </c>
      <c r="F351" s="8" t="n"/>
      <c r="G351" s="15">
        <f>IF(F351="","",E351-F351)</f>
        <v/>
      </c>
      <c r="H351" s="13" t="n"/>
      <c r="I351" s="14" t="n"/>
    </row>
    <row r="352">
      <c r="A352" s="13" t="inlineStr">
        <is>
          <t>RG3-LP</t>
        </is>
      </c>
      <c r="B352" s="13" t="inlineStr">
        <is>
          <t>Lucro Presumido</t>
        </is>
      </c>
      <c r="C352" s="14" t="inlineStr">
        <is>
          <t>Serviços (fator R) em 2030: ISS em 80% e IBS em 20% da alíquota final; servico_fator_r; receita R$ 900.000,00/ano; folha CLT R$ 200.000,00; pró-labore R$ 60.000,00; ano 2030; ISS 5%</t>
        </is>
      </c>
      <c r="D352" s="13" t="inlineStr">
        <is>
          <t>ISS</t>
        </is>
      </c>
      <c r="E352" s="15" t="n">
        <v>36000</v>
      </c>
      <c r="F352" s="8" t="n"/>
      <c r="G352" s="15">
        <f>IF(F352="","",E352-F352)</f>
        <v/>
      </c>
      <c r="H352" s="13" t="n"/>
      <c r="I352" s="14" t="n"/>
    </row>
    <row r="353">
      <c r="A353" s="13" t="inlineStr">
        <is>
          <t>RG3-LP</t>
        </is>
      </c>
      <c r="B353" s="13" t="inlineStr">
        <is>
          <t>Lucro Presumido</t>
        </is>
      </c>
      <c r="C353" s="14" t="inlineStr">
        <is>
          <t>Serviços (fator R) em 2030: ISS em 80% e IBS em 20% da alíquota final; servico_fator_r; receita R$ 900.000,00/ano; folha CLT R$ 200.000,00; pró-labore R$ 60.000,00; ano 2030; ISS 5%</t>
        </is>
      </c>
      <c r="D353" s="13" t="inlineStr">
        <is>
          <t>INSS patronal</t>
        </is>
      </c>
      <c r="E353" s="15" t="n">
        <v>67600</v>
      </c>
      <c r="F353" s="8" t="n"/>
      <c r="G353" s="15">
        <f>IF(F353="","",E353-F353)</f>
        <v/>
      </c>
      <c r="H353" s="13" t="n"/>
      <c r="I353" s="14" t="n"/>
    </row>
    <row r="354">
      <c r="A354" s="16" t="inlineStr">
        <is>
          <t>RG3-LP</t>
        </is>
      </c>
      <c r="B354" s="16" t="inlineStr">
        <is>
          <t>Lucro Presumido</t>
        </is>
      </c>
      <c r="C354" s="17" t="inlineStr">
        <is>
          <t>Serviços (fator R) em 2030: ISS em 80% e IBS em 20% da alíquota final; servico_fator_r; receita R$ 900.000,00/ano; folha CLT R$ 200.000,00; pró-labore R$ 60.000,00; ano 2030; ISS 5%</t>
        </is>
      </c>
      <c r="D354" s="16" t="inlineStr">
        <is>
          <t>TOTAL</t>
        </is>
      </c>
      <c r="E354" s="18">
        <f>SUM(E348:E353)</f>
        <v/>
      </c>
      <c r="F354" s="12" t="n"/>
      <c r="G354" s="18">
        <f>IF(F354="","",E354-F354)</f>
        <v/>
      </c>
      <c r="H354" s="16" t="n"/>
      <c r="I354" s="17" t="n"/>
    </row>
    <row r="355">
      <c r="A355" s="5" t="inlineStr">
        <is>
          <t>RG3-LR</t>
        </is>
      </c>
      <c r="B355" s="5" t="inlineStr">
        <is>
          <t>Lucro Real</t>
        </is>
      </c>
      <c r="C355" s="6" t="inlineStr">
        <is>
          <t>Serviços (fator R) em 2030: ISS em 80% e IBS em 20% da alíquota final; servico_fator_r; receita R$ 900.000,00/ano; folha CLT R$ 200.000,00; pró-labore R$ 60.000,00; ano 2030; ISS 5%</t>
        </is>
      </c>
      <c r="D355" s="5" t="inlineStr">
        <is>
          <t>CBS</t>
        </is>
      </c>
      <c r="E355" s="7" t="n">
        <v>67914</v>
      </c>
      <c r="F355" s="8" t="n"/>
      <c r="G355" s="7">
        <f>IF(F355="","",E355-F355)</f>
        <v/>
      </c>
      <c r="H355" s="5" t="n"/>
      <c r="I355" s="6" t="n"/>
    </row>
    <row r="356">
      <c r="A356" s="5" t="inlineStr">
        <is>
          <t>RG3-LR</t>
        </is>
      </c>
      <c r="B356" s="5" t="inlineStr">
        <is>
          <t>Lucro Real</t>
        </is>
      </c>
      <c r="C356" s="6" t="inlineStr">
        <is>
          <t>Serviços (fator R) em 2030: ISS em 80% e IBS em 20% da alíquota final; servico_fator_r; receita R$ 900.000,00/ano; folha CLT R$ 200.000,00; pró-labore R$ 60.000,00; ano 2030; ISS 5%</t>
        </is>
      </c>
      <c r="D356" s="5" t="inlineStr">
        <is>
          <t>IBS</t>
        </is>
      </c>
      <c r="E356" s="7" t="n">
        <v>27319.95</v>
      </c>
      <c r="F356" s="8" t="n"/>
      <c r="G356" s="7">
        <f>IF(F356="","",E356-F356)</f>
        <v/>
      </c>
      <c r="H356" s="5" t="n"/>
      <c r="I356" s="6" t="n"/>
    </row>
    <row r="357">
      <c r="A357" s="5" t="inlineStr">
        <is>
          <t>RG3-LR</t>
        </is>
      </c>
      <c r="B357" s="5" t="inlineStr">
        <is>
          <t>Lucro Real</t>
        </is>
      </c>
      <c r="C357" s="6" t="inlineStr">
        <is>
          <t>Serviços (fator R) em 2030: ISS em 80% e IBS em 20% da alíquota final; servico_fator_r; receita R$ 900.000,00/ano; folha CLT R$ 200.000,00; pró-labore R$ 60.000,00; ano 2030; ISS 5%</t>
        </is>
      </c>
      <c r="D357" s="5" t="inlineStr">
        <is>
          <t>ISS</t>
        </is>
      </c>
      <c r="E357" s="7" t="n">
        <v>36000</v>
      </c>
      <c r="F357" s="8" t="n"/>
      <c r="G357" s="7">
        <f>IF(F357="","",E357-F357)</f>
        <v/>
      </c>
      <c r="H357" s="5" t="n"/>
      <c r="I357" s="6" t="n"/>
    </row>
    <row r="358">
      <c r="A358" s="5" t="inlineStr">
        <is>
          <t>RG3-LR</t>
        </is>
      </c>
      <c r="B358" s="5" t="inlineStr">
        <is>
          <t>Lucro Real</t>
        </is>
      </c>
      <c r="C358" s="6" t="inlineStr">
        <is>
          <t>Serviços (fator R) em 2030: ISS em 80% e IBS em 20% da alíquota final; servico_fator_r; receita R$ 900.000,00/ano; folha CLT R$ 200.000,00; pró-labore R$ 60.000,00; ano 2030; ISS 5%</t>
        </is>
      </c>
      <c r="D358" s="5" t="inlineStr">
        <is>
          <t>INSS patronal</t>
        </is>
      </c>
      <c r="E358" s="7" t="n">
        <v>67600</v>
      </c>
      <c r="F358" s="8" t="n"/>
      <c r="G358" s="7">
        <f>IF(F358="","",E358-F358)</f>
        <v/>
      </c>
      <c r="H358" s="5" t="n"/>
      <c r="I358" s="6" t="n"/>
    </row>
    <row r="359">
      <c r="A359" s="5" t="inlineStr">
        <is>
          <t>RG3-LR</t>
        </is>
      </c>
      <c r="B359" s="5" t="inlineStr">
        <is>
          <t>Lucro Real</t>
        </is>
      </c>
      <c r="C359" s="6" t="inlineStr">
        <is>
          <t>Serviços (fator R) em 2030: ISS em 80% e IBS em 20% da alíquota final; servico_fator_r; receita R$ 900.000,00/ano; folha CLT R$ 200.000,00; pró-labore R$ 60.000,00; ano 2030; ISS 5%</t>
        </is>
      </c>
      <c r="D359" s="5" t="inlineStr">
        <is>
          <t>IRPJ</t>
        </is>
      </c>
      <c r="E359" s="7" t="n">
        <v>83037.5</v>
      </c>
      <c r="F359" s="8" t="n"/>
      <c r="G359" s="7">
        <f>IF(F359="","",E359-F359)</f>
        <v/>
      </c>
      <c r="H359" s="5" t="n"/>
      <c r="I359" s="6" t="n"/>
    </row>
    <row r="360">
      <c r="A360" s="5" t="inlineStr">
        <is>
          <t>RG3-LR</t>
        </is>
      </c>
      <c r="B360" s="5" t="inlineStr">
        <is>
          <t>Lucro Real</t>
        </is>
      </c>
      <c r="C360" s="6" t="inlineStr">
        <is>
          <t>Serviços (fator R) em 2030: ISS em 80% e IBS em 20% da alíquota final; servico_fator_r; receita R$ 900.000,00/ano; folha CLT R$ 200.000,00; pró-labore R$ 60.000,00; ano 2030; ISS 5%</t>
        </is>
      </c>
      <c r="D360" s="5" t="inlineStr">
        <is>
          <t>CSLL</t>
        </is>
      </c>
      <c r="E360" s="7" t="n">
        <v>38533.5</v>
      </c>
      <c r="F360" s="8" t="n"/>
      <c r="G360" s="7">
        <f>IF(F360="","",E360-F360)</f>
        <v/>
      </c>
      <c r="H360" s="5" t="n"/>
      <c r="I360" s="6" t="n"/>
    </row>
    <row r="361">
      <c r="A361" s="9" t="inlineStr">
        <is>
          <t>RG3-LR</t>
        </is>
      </c>
      <c r="B361" s="9" t="inlineStr">
        <is>
          <t>Lucro Real</t>
        </is>
      </c>
      <c r="C361" s="10" t="inlineStr">
        <is>
          <t>Serviços (fator R) em 2030: ISS em 80% e IBS em 20% da alíquota final; servico_fator_r; receita R$ 900.000,00/ano; folha CLT R$ 200.000,00; pró-labore R$ 60.000,00; ano 2030; ISS 5%</t>
        </is>
      </c>
      <c r="D361" s="9" t="inlineStr">
        <is>
          <t>TOTAL</t>
        </is>
      </c>
      <c r="E361" s="11">
        <f>SUM(E355:E360)</f>
        <v/>
      </c>
      <c r="F361" s="12" t="n"/>
      <c r="G361" s="11">
        <f>IF(F361="","",E361-F361)</f>
        <v/>
      </c>
      <c r="H361" s="9" t="n"/>
      <c r="I361" s="10" t="n"/>
    </row>
    <row r="362">
      <c r="A362" s="13" t="inlineStr">
        <is>
          <t>RG4-LP</t>
        </is>
      </c>
      <c r="B362" s="13" t="inlineStr">
        <is>
          <t>Lucro Presumido</t>
        </is>
      </c>
      <c r="C362" s="14" t="inlineStr">
        <is>
          <t>Serviços (fator R) em 2027 com redução de 30% nas alíquotas de IBS e CBS (profissão regulamentada listada na lei); servico_fator_r; receita R$ 900.000,00/ano; folha CLT R$ 200.000,00; pró-labore R$ 60.000,00; ano 2027; redução de 30% no IBS e na CBS; ISS 5%</t>
        </is>
      </c>
      <c r="D362" s="13" t="inlineStr">
        <is>
          <t>IRPJ</t>
        </is>
      </c>
      <c r="E362" s="15" t="n">
        <v>45372</v>
      </c>
      <c r="F362" s="8" t="n"/>
      <c r="G362" s="15">
        <f>IF(F362="","",E362-F362)</f>
        <v/>
      </c>
      <c r="H362" s="13" t="n"/>
      <c r="I362" s="14" t="n"/>
    </row>
    <row r="363">
      <c r="A363" s="13" t="inlineStr">
        <is>
          <t>RG4-LP</t>
        </is>
      </c>
      <c r="B363" s="13" t="inlineStr">
        <is>
          <t>Lucro Presumido</t>
        </is>
      </c>
      <c r="C363" s="14" t="inlineStr">
        <is>
          <t>Serviços (fator R) em 2027 com redução de 30% nas alíquotas de IBS e CBS (profissão regulamentada listada na lei); servico_fator_r; receita R$ 900.000,00/ano; folha CLT R$ 200.000,00; pró-labore R$ 60.000,00; ano 2027; redução de 30% no IBS e na CBS; ISS 5%</t>
        </is>
      </c>
      <c r="D363" s="13" t="inlineStr">
        <is>
          <t>CSLL</t>
        </is>
      </c>
      <c r="E363" s="15" t="n">
        <v>24973.92</v>
      </c>
      <c r="F363" s="8" t="n"/>
      <c r="G363" s="15">
        <f>IF(F363="","",E363-F363)</f>
        <v/>
      </c>
      <c r="H363" s="13" t="n"/>
      <c r="I363" s="14" t="n"/>
    </row>
    <row r="364">
      <c r="A364" s="13" t="inlineStr">
        <is>
          <t>RG4-LP</t>
        </is>
      </c>
      <c r="B364" s="13" t="inlineStr">
        <is>
          <t>Lucro Presumido</t>
        </is>
      </c>
      <c r="C364" s="14" t="inlineStr">
        <is>
          <t>Serviços (fator R) em 2027 com redução de 30% nas alíquotas de IBS e CBS (profissão regulamentada listada na lei); servico_fator_r; receita R$ 900.000,00/ano; folha CLT R$ 200.000,00; pró-labore R$ 60.000,00; ano 2027; redução de 30% no IBS e na CBS; ISS 5%</t>
        </is>
      </c>
      <c r="D364" s="13" t="inlineStr">
        <is>
          <t>CBS</t>
        </is>
      </c>
      <c r="E364" s="15" t="n">
        <v>50068.94</v>
      </c>
      <c r="F364" s="8" t="n"/>
      <c r="G364" s="15">
        <f>IF(F364="","",E364-F364)</f>
        <v/>
      </c>
      <c r="H364" s="13" t="n"/>
      <c r="I364" s="14" t="n"/>
    </row>
    <row r="365">
      <c r="A365" s="13" t="inlineStr">
        <is>
          <t>RG4-LP</t>
        </is>
      </c>
      <c r="B365" s="13" t="inlineStr">
        <is>
          <t>Lucro Presumido</t>
        </is>
      </c>
      <c r="C365" s="14" t="inlineStr">
        <is>
          <t>Serviços (fator R) em 2027 com redução de 30% nas alíquotas de IBS e CBS (profissão regulamentada listada na lei); servico_fator_r; receita R$ 900.000,00/ano; folha CLT R$ 200.000,00; pró-labore R$ 60.000,00; ano 2027; redução de 30% no IBS e na CBS; ISS 5%</t>
        </is>
      </c>
      <c r="D365" s="13" t="inlineStr">
        <is>
          <t>IBS</t>
        </is>
      </c>
      <c r="E365" s="15" t="n">
        <v>575.5</v>
      </c>
      <c r="F365" s="8" t="n"/>
      <c r="G365" s="15">
        <f>IF(F365="","",E365-F365)</f>
        <v/>
      </c>
      <c r="H365" s="13" t="n"/>
      <c r="I365" s="14" t="n"/>
    </row>
    <row r="366">
      <c r="A366" s="13" t="inlineStr">
        <is>
          <t>RG4-LP</t>
        </is>
      </c>
      <c r="B366" s="13" t="inlineStr">
        <is>
          <t>Lucro Presumido</t>
        </is>
      </c>
      <c r="C366" s="14" t="inlineStr">
        <is>
          <t>Serviços (fator R) em 2027 com redução de 30% nas alíquotas de IBS e CBS (profissão regulamentada listada na lei); servico_fator_r; receita R$ 900.000,00/ano; folha CLT R$ 200.000,00; pró-labore R$ 60.000,00; ano 2027; redução de 30% no IBS e na CBS; ISS 5%</t>
        </is>
      </c>
      <c r="D366" s="13" t="inlineStr">
        <is>
          <t>ISS</t>
        </is>
      </c>
      <c r="E366" s="15" t="n">
        <v>45000</v>
      </c>
      <c r="F366" s="8" t="n"/>
      <c r="G366" s="15">
        <f>IF(F366="","",E366-F366)</f>
        <v/>
      </c>
      <c r="H366" s="13" t="n"/>
      <c r="I366" s="14" t="n"/>
    </row>
    <row r="367">
      <c r="A367" s="13" t="inlineStr">
        <is>
          <t>RG4-LP</t>
        </is>
      </c>
      <c r="B367" s="13" t="inlineStr">
        <is>
          <t>Lucro Presumido</t>
        </is>
      </c>
      <c r="C367" s="14" t="inlineStr">
        <is>
          <t>Serviços (fator R) em 2027 com redução de 30% nas alíquotas de IBS e CBS (profissão regulamentada listada na lei); servico_fator_r; receita R$ 900.000,00/ano; folha CLT R$ 200.000,00; pró-labore R$ 60.000,00; ano 2027; redução de 30% no IBS e na CBS; ISS 5%</t>
        </is>
      </c>
      <c r="D367" s="13" t="inlineStr">
        <is>
          <t>INSS patronal</t>
        </is>
      </c>
      <c r="E367" s="15" t="n">
        <v>67600</v>
      </c>
      <c r="F367" s="8" t="n"/>
      <c r="G367" s="15">
        <f>IF(F367="","",E367-F367)</f>
        <v/>
      </c>
      <c r="H367" s="13" t="n"/>
      <c r="I367" s="14" t="n"/>
    </row>
    <row r="368">
      <c r="A368" s="16" t="inlineStr">
        <is>
          <t>RG4-LP</t>
        </is>
      </c>
      <c r="B368" s="16" t="inlineStr">
        <is>
          <t>Lucro Presumido</t>
        </is>
      </c>
      <c r="C368" s="17" t="inlineStr">
        <is>
          <t>Serviços (fator R) em 2027 com redução de 30% nas alíquotas de IBS e CBS (profissão regulamentada listada na lei); servico_fator_r; receita R$ 900.000,00/ano; folha CLT R$ 200.000,00; pró-labore R$ 60.000,00; ano 2027; redução de 30% no IBS e na CBS; ISS 5%</t>
        </is>
      </c>
      <c r="D368" s="16" t="inlineStr">
        <is>
          <t>TOTAL</t>
        </is>
      </c>
      <c r="E368" s="18">
        <f>SUM(E362:E367)</f>
        <v/>
      </c>
      <c r="F368" s="12" t="n"/>
      <c r="G368" s="18">
        <f>IF(F368="","",E368-F368)</f>
        <v/>
      </c>
      <c r="H368" s="16" t="n"/>
      <c r="I368" s="17" t="n"/>
    </row>
    <row r="369">
      <c r="A369" s="5" t="inlineStr">
        <is>
          <t>RG4-LR</t>
        </is>
      </c>
      <c r="B369" s="5" t="inlineStr">
        <is>
          <t>Lucro Real</t>
        </is>
      </c>
      <c r="C369" s="6" t="inlineStr">
        <is>
          <t>Serviços (fator R) em 2027 com redução de 30% nas alíquotas de IBS e CBS (profissão regulamentada listada na lei); servico_fator_r; receita R$ 900.000,00/ano; folha CLT R$ 200.000,00; pró-labore R$ 60.000,00; ano 2027; redução de 30% no IBS e na CBS; ISS 5%</t>
        </is>
      </c>
      <c r="D369" s="5" t="inlineStr">
        <is>
          <t>CBS</t>
        </is>
      </c>
      <c r="E369" s="7" t="n">
        <v>46999.58</v>
      </c>
      <c r="F369" s="8" t="n"/>
      <c r="G369" s="7">
        <f>IF(F369="","",E369-F369)</f>
        <v/>
      </c>
      <c r="H369" s="5" t="n"/>
      <c r="I369" s="6" t="n"/>
    </row>
    <row r="370">
      <c r="A370" s="5" t="inlineStr">
        <is>
          <t>RG4-LR</t>
        </is>
      </c>
      <c r="B370" s="5" t="inlineStr">
        <is>
          <t>Lucro Real</t>
        </is>
      </c>
      <c r="C370" s="6" t="inlineStr">
        <is>
          <t>Serviços (fator R) em 2027 com redução de 30% nas alíquotas de IBS e CBS (profissão regulamentada listada na lei); servico_fator_r; receita R$ 900.000,00/ano; folha CLT R$ 200.000,00; pró-labore R$ 60.000,00; ano 2027; redução de 30% no IBS e na CBS; ISS 5%</t>
        </is>
      </c>
      <c r="D370" s="5" t="inlineStr">
        <is>
          <t>IBS</t>
        </is>
      </c>
      <c r="E370" s="7" t="n">
        <v>540.22</v>
      </c>
      <c r="F370" s="8" t="n"/>
      <c r="G370" s="7">
        <f>IF(F370="","",E370-F370)</f>
        <v/>
      </c>
      <c r="H370" s="5" t="n"/>
      <c r="I370" s="6" t="n"/>
    </row>
    <row r="371">
      <c r="A371" s="5" t="inlineStr">
        <is>
          <t>RG4-LR</t>
        </is>
      </c>
      <c r="B371" s="5" t="inlineStr">
        <is>
          <t>Lucro Real</t>
        </is>
      </c>
      <c r="C371" s="6" t="inlineStr">
        <is>
          <t>Serviços (fator R) em 2027 com redução de 30% nas alíquotas de IBS e CBS (profissão regulamentada listada na lei); servico_fator_r; receita R$ 900.000,00/ano; folha CLT R$ 200.000,00; pró-labore R$ 60.000,00; ano 2027; redução de 30% no IBS e na CBS; ISS 5%</t>
        </is>
      </c>
      <c r="D371" s="5" t="inlineStr">
        <is>
          <t>ISS</t>
        </is>
      </c>
      <c r="E371" s="7" t="n">
        <v>45000</v>
      </c>
      <c r="F371" s="8" t="n"/>
      <c r="G371" s="7">
        <f>IF(F371="","",E371-F371)</f>
        <v/>
      </c>
      <c r="H371" s="5" t="n"/>
      <c r="I371" s="6" t="n"/>
    </row>
    <row r="372">
      <c r="A372" s="5" t="inlineStr">
        <is>
          <t>RG4-LR</t>
        </is>
      </c>
      <c r="B372" s="5" t="inlineStr">
        <is>
          <t>Lucro Real</t>
        </is>
      </c>
      <c r="C372" s="6" t="inlineStr">
        <is>
          <t>Serviços (fator R) em 2027 com redução de 30% nas alíquotas de IBS e CBS (profissão regulamentada listada na lei); servico_fator_r; receita R$ 900.000,00/ano; folha CLT R$ 200.000,00; pró-labore R$ 60.000,00; ano 2027; redução de 30% no IBS e na CBS; ISS 5%</t>
        </is>
      </c>
      <c r="D372" s="5" t="inlineStr">
        <is>
          <t>INSS patronal</t>
        </is>
      </c>
      <c r="E372" s="7" t="n">
        <v>67600</v>
      </c>
      <c r="F372" s="8" t="n"/>
      <c r="G372" s="7">
        <f>IF(F372="","",E372-F372)</f>
        <v/>
      </c>
      <c r="H372" s="5" t="n"/>
      <c r="I372" s="6" t="n"/>
    </row>
    <row r="373">
      <c r="A373" s="5" t="inlineStr">
        <is>
          <t>RG4-LR</t>
        </is>
      </c>
      <c r="B373" s="5" t="inlineStr">
        <is>
          <t>Lucro Real</t>
        </is>
      </c>
      <c r="C373" s="6" t="inlineStr">
        <is>
          <t>Serviços (fator R) em 2027 com redução de 30% nas alíquotas de IBS e CBS (profissão regulamentada listada na lei); servico_fator_r; receita R$ 900.000,00/ano; folha CLT R$ 200.000,00; pró-labore R$ 60.000,00; ano 2027; redução de 30% no IBS e na CBS; ISS 5%</t>
        </is>
      </c>
      <c r="D373" s="5" t="inlineStr">
        <is>
          <t>IRPJ</t>
        </is>
      </c>
      <c r="E373" s="7" t="n">
        <v>83037.5</v>
      </c>
      <c r="F373" s="8" t="n"/>
      <c r="G373" s="7">
        <f>IF(F373="","",E373-F373)</f>
        <v/>
      </c>
      <c r="H373" s="5" t="n"/>
      <c r="I373" s="6" t="n"/>
    </row>
    <row r="374">
      <c r="A374" s="5" t="inlineStr">
        <is>
          <t>RG4-LR</t>
        </is>
      </c>
      <c r="B374" s="5" t="inlineStr">
        <is>
          <t>Lucro Real</t>
        </is>
      </c>
      <c r="C374" s="6" t="inlineStr">
        <is>
          <t>Serviços (fator R) em 2027 com redução de 30% nas alíquotas de IBS e CBS (profissão regulamentada listada na lei); servico_fator_r; receita R$ 900.000,00/ano; folha CLT R$ 200.000,00; pró-labore R$ 60.000,00; ano 2027; redução de 30% no IBS e na CBS; ISS 5%</t>
        </is>
      </c>
      <c r="D374" s="5" t="inlineStr">
        <is>
          <t>CSLL</t>
        </is>
      </c>
      <c r="E374" s="7" t="n">
        <v>38533.5</v>
      </c>
      <c r="F374" s="8" t="n"/>
      <c r="G374" s="7">
        <f>IF(F374="","",E374-F374)</f>
        <v/>
      </c>
      <c r="H374" s="5" t="n"/>
      <c r="I374" s="6" t="n"/>
    </row>
    <row r="375">
      <c r="A375" s="9" t="inlineStr">
        <is>
          <t>RG4-LR</t>
        </is>
      </c>
      <c r="B375" s="9" t="inlineStr">
        <is>
          <t>Lucro Real</t>
        </is>
      </c>
      <c r="C375" s="10" t="inlineStr">
        <is>
          <t>Serviços (fator R) em 2027 com redução de 30% nas alíquotas de IBS e CBS (profissão regulamentada listada na lei); servico_fator_r; receita R$ 900.000,00/ano; folha CLT R$ 200.000,00; pró-labore R$ 60.000,00; ano 2027; redução de 30% no IBS e na CBS; ISS 5%</t>
        </is>
      </c>
      <c r="D375" s="9" t="inlineStr">
        <is>
          <t>TOTAL</t>
        </is>
      </c>
      <c r="E375" s="11">
        <f>SUM(E369:E374)</f>
        <v/>
      </c>
      <c r="F375" s="12" t="n"/>
      <c r="G375" s="11">
        <f>IF(F375="","",E375-F375)</f>
        <v/>
      </c>
      <c r="H375" s="9" t="n"/>
      <c r="I375" s="10" t="n"/>
    </row>
    <row r="376">
      <c r="A376" s="13" t="inlineStr">
        <is>
          <t>MIX1-SN</t>
        </is>
      </c>
      <c r="B376" s="13" t="inlineStr">
        <is>
          <t>Simples Nacional</t>
        </is>
      </c>
      <c r="C376" s="14" t="inlineStr">
        <is>
          <t>Comércio (R$ 1,2 mi) + serviços do fator R (R$ 0,6 mi, fator R de 17,7%): Anexo I e Anexo V no Simples; comercio; receita R$ 1.800.000,00/ano; folha CLT R$ 240.000,00; pró-labore R$ 60.000,00; compras R$ 700.000,00; ano 2026; receita em servico_fator_r R$ 600.000,00; ICMS 18%</t>
        </is>
      </c>
      <c r="D376" s="13" t="inlineStr">
        <is>
          <t>DAS</t>
        </is>
      </c>
      <c r="E376" s="15" t="n">
        <v>230700</v>
      </c>
      <c r="F376" s="8" t="n"/>
      <c r="G376" s="15">
        <f>IF(F376="","",E376-F376)</f>
        <v/>
      </c>
      <c r="H376" s="13" t="n"/>
      <c r="I376" s="14" t="n"/>
    </row>
    <row r="377">
      <c r="A377" s="16" t="inlineStr">
        <is>
          <t>MIX1-SN</t>
        </is>
      </c>
      <c r="B377" s="16" t="inlineStr">
        <is>
          <t>Simples Nacional</t>
        </is>
      </c>
      <c r="C377" s="17" t="inlineStr">
        <is>
          <t>Comércio (R$ 1,2 mi) + serviços do fator R (R$ 0,6 mi, fator R de 17,7%): Anexo I e Anexo V no Simples; comercio; receita R$ 1.800.000,00/ano; folha CLT R$ 240.000,00; pró-labore R$ 60.000,00; compras R$ 700.000,00; ano 2026; receita em servico_fator_r R$ 600.000,00; ICMS 18%</t>
        </is>
      </c>
      <c r="D377" s="16" t="inlineStr">
        <is>
          <t>TOTAL</t>
        </is>
      </c>
      <c r="E377" s="18">
        <f>SUM(E376:E376)</f>
        <v/>
      </c>
      <c r="F377" s="12" t="n"/>
      <c r="G377" s="18">
        <f>IF(F377="","",E377-F377)</f>
        <v/>
      </c>
      <c r="H377" s="16" t="n"/>
      <c r="I377" s="17" t="n"/>
    </row>
    <row r="378">
      <c r="A378" s="5" t="inlineStr">
        <is>
          <t>MIX1-LP</t>
        </is>
      </c>
      <c r="B378" s="5" t="inlineStr">
        <is>
          <t>Lucro Presumido</t>
        </is>
      </c>
      <c r="C378" s="6" t="inlineStr">
        <is>
          <t>Comércio (R$ 1,2 mi) + serviços do fator R (R$ 0,6 mi, fator R de 17,7%): Anexo I e Anexo V no Simples; comercio; receita R$ 1.800.000,00/ano; folha CLT R$ 240.000,00; pró-labore R$ 60.000,00; compras R$ 700.000,00; ano 2026; receita em servico_fator_r R$ 600.000,00; ICMS 18%</t>
        </is>
      </c>
      <c r="D378" s="5" t="inlineStr">
        <is>
          <t>IRPJ</t>
        </is>
      </c>
      <c r="E378" s="7" t="n">
        <v>48000</v>
      </c>
      <c r="F378" s="8" t="n"/>
      <c r="G378" s="7">
        <f>IF(F378="","",E378-F378)</f>
        <v/>
      </c>
      <c r="H378" s="5" t="n"/>
      <c r="I378" s="6" t="n"/>
    </row>
    <row r="379">
      <c r="A379" s="5" t="inlineStr">
        <is>
          <t>MIX1-LP</t>
        </is>
      </c>
      <c r="B379" s="5" t="inlineStr">
        <is>
          <t>Lucro Presumido</t>
        </is>
      </c>
      <c r="C379" s="6" t="inlineStr">
        <is>
          <t>Comércio (R$ 1,2 mi) + serviços do fator R (R$ 0,6 mi, fator R de 17,7%): Anexo I e Anexo V no Simples; comercio; receita R$ 1.800.000,00/ano; folha CLT R$ 240.000,00; pró-labore R$ 60.000,00; compras R$ 700.000,00; ano 2026; receita em servico_fator_r R$ 600.000,00; ICMS 18%</t>
        </is>
      </c>
      <c r="D379" s="5" t="inlineStr">
        <is>
          <t>CSLL</t>
        </is>
      </c>
      <c r="E379" s="7" t="n">
        <v>30240</v>
      </c>
      <c r="F379" s="8" t="n"/>
      <c r="G379" s="7">
        <f>IF(F379="","",E379-F379)</f>
        <v/>
      </c>
      <c r="H379" s="5" t="n"/>
      <c r="I379" s="6" t="n"/>
    </row>
    <row r="380">
      <c r="A380" s="5" t="inlineStr">
        <is>
          <t>MIX1-LP</t>
        </is>
      </c>
      <c r="B380" s="5" t="inlineStr">
        <is>
          <t>Lucro Presumido</t>
        </is>
      </c>
      <c r="C380" s="6" t="inlineStr">
        <is>
          <t>Comércio (R$ 1,2 mi) + serviços do fator R (R$ 0,6 mi, fator R de 17,7%): Anexo I e Anexo V no Simples; comercio; receita R$ 1.800.000,00/ano; folha CLT R$ 240.000,00; pró-labore R$ 60.000,00; compras R$ 700.000,00; ano 2026; receita em servico_fator_r R$ 600.000,00; ICMS 18%</t>
        </is>
      </c>
      <c r="D380" s="5" t="inlineStr">
        <is>
          <t>PIS</t>
        </is>
      </c>
      <c r="E380" s="7" t="n">
        <v>11700</v>
      </c>
      <c r="F380" s="8" t="n"/>
      <c r="G380" s="7">
        <f>IF(F380="","",E380-F380)</f>
        <v/>
      </c>
      <c r="H380" s="5" t="n"/>
      <c r="I380" s="6" t="n"/>
    </row>
    <row r="381">
      <c r="A381" s="5" t="inlineStr">
        <is>
          <t>MIX1-LP</t>
        </is>
      </c>
      <c r="B381" s="5" t="inlineStr">
        <is>
          <t>Lucro Presumido</t>
        </is>
      </c>
      <c r="C381" s="6" t="inlineStr">
        <is>
          <t>Comércio (R$ 1,2 mi) + serviços do fator R (R$ 0,6 mi, fator R de 17,7%): Anexo I e Anexo V no Simples; comercio; receita R$ 1.800.000,00/ano; folha CLT R$ 240.000,00; pró-labore R$ 60.000,00; compras R$ 700.000,00; ano 2026; receita em servico_fator_r R$ 600.000,00; ICMS 18%</t>
        </is>
      </c>
      <c r="D381" s="5" t="inlineStr">
        <is>
          <t>Cofins</t>
        </is>
      </c>
      <c r="E381" s="7" t="n">
        <v>54000</v>
      </c>
      <c r="F381" s="8" t="n"/>
      <c r="G381" s="7">
        <f>IF(F381="","",E381-F381)</f>
        <v/>
      </c>
      <c r="H381" s="5" t="n"/>
      <c r="I381" s="6" t="n"/>
    </row>
    <row r="382">
      <c r="A382" s="5" t="inlineStr">
        <is>
          <t>MIX1-LP</t>
        </is>
      </c>
      <c r="B382" s="5" t="inlineStr">
        <is>
          <t>Lucro Presumido</t>
        </is>
      </c>
      <c r="C382" s="6" t="inlineStr">
        <is>
          <t>Comércio (R$ 1,2 mi) + serviços do fator R (R$ 0,6 mi, fator R de 17,7%): Anexo I e Anexo V no Simples; comercio; receita R$ 1.800.000,00/ano; folha CLT R$ 240.000,00; pró-labore R$ 60.000,00; compras R$ 700.000,00; ano 2026; receita em servico_fator_r R$ 600.000,00; ICMS 18%</t>
        </is>
      </c>
      <c r="D382" s="5" t="inlineStr">
        <is>
          <t>ICMS</t>
        </is>
      </c>
      <c r="E382" s="7" t="n">
        <v>90000</v>
      </c>
      <c r="F382" s="8" t="n"/>
      <c r="G382" s="7">
        <f>IF(F382="","",E382-F382)</f>
        <v/>
      </c>
      <c r="H382" s="5" t="n"/>
      <c r="I382" s="6" t="n"/>
    </row>
    <row r="383">
      <c r="A383" s="5" t="inlineStr">
        <is>
          <t>MIX1-LP</t>
        </is>
      </c>
      <c r="B383" s="5" t="inlineStr">
        <is>
          <t>Lucro Presumido</t>
        </is>
      </c>
      <c r="C383" s="6" t="inlineStr">
        <is>
          <t>Comércio (R$ 1,2 mi) + serviços do fator R (R$ 0,6 mi, fator R de 17,7%): Anexo I e Anexo V no Simples; comercio; receita R$ 1.800.000,00/ano; folha CLT R$ 240.000,00; pró-labore R$ 60.000,00; compras R$ 700.000,00; ano 2026; receita em servico_fator_r R$ 600.000,00; ICMS 18%</t>
        </is>
      </c>
      <c r="D383" s="5" t="inlineStr">
        <is>
          <t>ISS</t>
        </is>
      </c>
      <c r="E383" s="7" t="n">
        <v>30000</v>
      </c>
      <c r="F383" s="8" t="n"/>
      <c r="G383" s="7">
        <f>IF(F383="","",E383-F383)</f>
        <v/>
      </c>
      <c r="H383" s="5" t="n"/>
      <c r="I383" s="6" t="n"/>
    </row>
    <row r="384">
      <c r="A384" s="5" t="inlineStr">
        <is>
          <t>MIX1-LP</t>
        </is>
      </c>
      <c r="B384" s="5" t="inlineStr">
        <is>
          <t>Lucro Presumido</t>
        </is>
      </c>
      <c r="C384" s="6" t="inlineStr">
        <is>
          <t>Comércio (R$ 1,2 mi) + serviços do fator R (R$ 0,6 mi, fator R de 17,7%): Anexo I e Anexo V no Simples; comercio; receita R$ 1.800.000,00/ano; folha CLT R$ 240.000,00; pró-labore R$ 60.000,00; compras R$ 700.000,00; ano 2026; receita em servico_fator_r R$ 600.000,00; ICMS 18%</t>
        </is>
      </c>
      <c r="D384" s="5" t="inlineStr">
        <is>
          <t>INSS patronal</t>
        </is>
      </c>
      <c r="E384" s="7" t="n">
        <v>78720</v>
      </c>
      <c r="F384" s="8" t="n"/>
      <c r="G384" s="7">
        <f>IF(F384="","",E384-F384)</f>
        <v/>
      </c>
      <c r="H384" s="5" t="n"/>
      <c r="I384" s="6" t="n"/>
    </row>
    <row r="385">
      <c r="A385" s="9" t="inlineStr">
        <is>
          <t>MIX1-LP</t>
        </is>
      </c>
      <c r="B385" s="9" t="inlineStr">
        <is>
          <t>Lucro Presumido</t>
        </is>
      </c>
      <c r="C385" s="10" t="inlineStr">
        <is>
          <t>Comércio (R$ 1,2 mi) + serviços do fator R (R$ 0,6 mi, fator R de 17,7%): Anexo I e Anexo V no Simples; comercio; receita R$ 1.800.000,00/ano; folha CLT R$ 240.000,00; pró-labore R$ 60.000,00; compras R$ 700.000,00; ano 2026; receita em servico_fator_r R$ 600.000,00; ICMS 18%</t>
        </is>
      </c>
      <c r="D385" s="9" t="inlineStr">
        <is>
          <t>TOTAL</t>
        </is>
      </c>
      <c r="E385" s="11">
        <f>SUM(E378:E384)</f>
        <v/>
      </c>
      <c r="F385" s="12" t="n"/>
      <c r="G385" s="11">
        <f>IF(F385="","",E385-F385)</f>
        <v/>
      </c>
      <c r="H385" s="9" t="n"/>
      <c r="I385" s="10" t="n"/>
    </row>
    <row r="386">
      <c r="A386" s="13" t="inlineStr">
        <is>
          <t>MIX1-LR</t>
        </is>
      </c>
      <c r="B386" s="13" t="inlineStr">
        <is>
          <t>Lucro Real</t>
        </is>
      </c>
      <c r="C386" s="14" t="inlineStr">
        <is>
          <t>Comércio (R$ 1,2 mi) + serviços do fator R (R$ 0,6 mi, fator R de 17,7%): Anexo I e Anexo V no Simples; comercio; receita R$ 1.800.000,00/ano; folha CLT R$ 240.000,00; pró-labore R$ 60.000,00; compras R$ 700.000,00; ano 2026; receita em servico_fator_r R$ 600.000,00; ICMS 18%</t>
        </is>
      </c>
      <c r="D386" s="13" t="inlineStr">
        <is>
          <t>PIS</t>
        </is>
      </c>
      <c r="E386" s="15" t="n">
        <v>18150</v>
      </c>
      <c r="F386" s="8" t="n"/>
      <c r="G386" s="15">
        <f>IF(F386="","",E386-F386)</f>
        <v/>
      </c>
      <c r="H386" s="13" t="n"/>
      <c r="I386" s="14" t="n"/>
    </row>
    <row r="387">
      <c r="A387" s="13" t="inlineStr">
        <is>
          <t>MIX1-LR</t>
        </is>
      </c>
      <c r="B387" s="13" t="inlineStr">
        <is>
          <t>Lucro Real</t>
        </is>
      </c>
      <c r="C387" s="14" t="inlineStr">
        <is>
          <t>Comércio (R$ 1,2 mi) + serviços do fator R (R$ 0,6 mi, fator R de 17,7%): Anexo I e Anexo V no Simples; comercio; receita R$ 1.800.000,00/ano; folha CLT R$ 240.000,00; pró-labore R$ 60.000,00; compras R$ 700.000,00; ano 2026; receita em servico_fator_r R$ 600.000,00; ICMS 18%</t>
        </is>
      </c>
      <c r="D387" s="13" t="inlineStr">
        <is>
          <t>Cofins</t>
        </is>
      </c>
      <c r="E387" s="15" t="n">
        <v>83600</v>
      </c>
      <c r="F387" s="8" t="n"/>
      <c r="G387" s="15">
        <f>IF(F387="","",E387-F387)</f>
        <v/>
      </c>
      <c r="H387" s="13" t="n"/>
      <c r="I387" s="14" t="n"/>
    </row>
    <row r="388">
      <c r="A388" s="13" t="inlineStr">
        <is>
          <t>MIX1-LR</t>
        </is>
      </c>
      <c r="B388" s="13" t="inlineStr">
        <is>
          <t>Lucro Real</t>
        </is>
      </c>
      <c r="C388" s="14" t="inlineStr">
        <is>
          <t>Comércio (R$ 1,2 mi) + serviços do fator R (R$ 0,6 mi, fator R de 17,7%): Anexo I e Anexo V no Simples; comercio; receita R$ 1.800.000,00/ano; folha CLT R$ 240.000,00; pró-labore R$ 60.000,00; compras R$ 700.000,00; ano 2026; receita em servico_fator_r R$ 600.000,00; ICMS 18%</t>
        </is>
      </c>
      <c r="D388" s="13" t="inlineStr">
        <is>
          <t>ICMS</t>
        </is>
      </c>
      <c r="E388" s="15" t="n">
        <v>90000</v>
      </c>
      <c r="F388" s="8" t="n"/>
      <c r="G388" s="15">
        <f>IF(F388="","",E388-F388)</f>
        <v/>
      </c>
      <c r="H388" s="13" t="n"/>
      <c r="I388" s="14" t="n"/>
    </row>
    <row r="389">
      <c r="A389" s="13" t="inlineStr">
        <is>
          <t>MIX1-LR</t>
        </is>
      </c>
      <c r="B389" s="13" t="inlineStr">
        <is>
          <t>Lucro Real</t>
        </is>
      </c>
      <c r="C389" s="14" t="inlineStr">
        <is>
          <t>Comércio (R$ 1,2 mi) + serviços do fator R (R$ 0,6 mi, fator R de 17,7%): Anexo I e Anexo V no Simples; comercio; receita R$ 1.800.000,00/ano; folha CLT R$ 240.000,00; pró-labore R$ 60.000,00; compras R$ 700.000,00; ano 2026; receita em servico_fator_r R$ 600.000,00; ICMS 18%</t>
        </is>
      </c>
      <c r="D389" s="13" t="inlineStr">
        <is>
          <t>ISS</t>
        </is>
      </c>
      <c r="E389" s="15" t="n">
        <v>30000</v>
      </c>
      <c r="F389" s="8" t="n"/>
      <c r="G389" s="15">
        <f>IF(F389="","",E389-F389)</f>
        <v/>
      </c>
      <c r="H389" s="13" t="n"/>
      <c r="I389" s="14" t="n"/>
    </row>
    <row r="390">
      <c r="A390" s="13" t="inlineStr">
        <is>
          <t>MIX1-LR</t>
        </is>
      </c>
      <c r="B390" s="13" t="inlineStr">
        <is>
          <t>Lucro Real</t>
        </is>
      </c>
      <c r="C390" s="14" t="inlineStr">
        <is>
          <t>Comércio (R$ 1,2 mi) + serviços do fator R (R$ 0,6 mi, fator R de 17,7%): Anexo I e Anexo V no Simples; comercio; receita R$ 1.800.000,00/ano; folha CLT R$ 240.000,00; pró-labore R$ 60.000,00; compras R$ 700.000,00; ano 2026; receita em servico_fator_r R$ 600.000,00; ICMS 18%</t>
        </is>
      </c>
      <c r="D390" s="13" t="inlineStr">
        <is>
          <t>INSS patronal</t>
        </is>
      </c>
      <c r="E390" s="15" t="n">
        <v>78720</v>
      </c>
      <c r="F390" s="8" t="n"/>
      <c r="G390" s="15">
        <f>IF(F390="","",E390-F390)</f>
        <v/>
      </c>
      <c r="H390" s="13" t="n"/>
      <c r="I390" s="14" t="n"/>
    </row>
    <row r="391">
      <c r="A391" s="13" t="inlineStr">
        <is>
          <t>MIX1-LR</t>
        </is>
      </c>
      <c r="B391" s="13" t="inlineStr">
        <is>
          <t>Lucro Real</t>
        </is>
      </c>
      <c r="C391" s="14" t="inlineStr">
        <is>
          <t>Comércio (R$ 1,2 mi) + serviços do fator R (R$ 0,6 mi, fator R de 17,7%): Anexo I e Anexo V no Simples; comercio; receita R$ 1.800.000,00/ano; folha CLT R$ 240.000,00; pró-labore R$ 60.000,00; compras R$ 700.000,00; ano 2026; receita em servico_fator_r R$ 600.000,00; ICMS 18%</t>
        </is>
      </c>
      <c r="D391" s="13" t="inlineStr">
        <is>
          <t>IRPJ</t>
        </is>
      </c>
      <c r="E391" s="15" t="n">
        <v>96082.5</v>
      </c>
      <c r="F391" s="8" t="n"/>
      <c r="G391" s="15">
        <f>IF(F391="","",E391-F391)</f>
        <v/>
      </c>
      <c r="H391" s="13" t="n"/>
      <c r="I391" s="14" t="n"/>
    </row>
    <row r="392">
      <c r="A392" s="13" t="inlineStr">
        <is>
          <t>MIX1-LR</t>
        </is>
      </c>
      <c r="B392" s="13" t="inlineStr">
        <is>
          <t>Lucro Real</t>
        </is>
      </c>
      <c r="C392" s="14" t="inlineStr">
        <is>
          <t>Comércio (R$ 1,2 mi) + serviços do fator R (R$ 0,6 mi, fator R de 17,7%): Anexo I e Anexo V no Simples; comercio; receita R$ 1.800.000,00/ano; folha CLT R$ 240.000,00; pró-labore R$ 60.000,00; compras R$ 700.000,00; ano 2026; receita em servico_fator_r R$ 600.000,00; ICMS 18%</t>
        </is>
      </c>
      <c r="D392" s="13" t="inlineStr">
        <is>
          <t>CSLL</t>
        </is>
      </c>
      <c r="E392" s="15" t="n">
        <v>43229.7</v>
      </c>
      <c r="F392" s="8" t="n"/>
      <c r="G392" s="15">
        <f>IF(F392="","",E392-F392)</f>
        <v/>
      </c>
      <c r="H392" s="13" t="n"/>
      <c r="I392" s="14" t="n"/>
    </row>
    <row r="393">
      <c r="A393" s="16" t="inlineStr">
        <is>
          <t>MIX1-LR</t>
        </is>
      </c>
      <c r="B393" s="16" t="inlineStr">
        <is>
          <t>Lucro Real</t>
        </is>
      </c>
      <c r="C393" s="17" t="inlineStr">
        <is>
          <t>Comércio (R$ 1,2 mi) + serviços do fator R (R$ 0,6 mi, fator R de 17,7%): Anexo I e Anexo V no Simples; comercio; receita R$ 1.800.000,00/ano; folha CLT R$ 240.000,00; pró-labore R$ 60.000,00; compras R$ 700.000,00; ano 2026; receita em servico_fator_r R$ 600.000,00; ICMS 18%</t>
        </is>
      </c>
      <c r="D393" s="16" t="inlineStr">
        <is>
          <t>TOTAL</t>
        </is>
      </c>
      <c r="E393" s="18">
        <f>SUM(E386:E392)</f>
        <v/>
      </c>
      <c r="F393" s="12" t="n"/>
      <c r="G393" s="18">
        <f>IF(F393="","",E393-F393)</f>
        <v/>
      </c>
      <c r="H393" s="16" t="n"/>
      <c r="I393" s="17" t="n"/>
    </row>
    <row r="394">
      <c r="A394" s="5" t="inlineStr">
        <is>
          <t>MIX2-SN</t>
        </is>
      </c>
      <c r="B394" s="5" t="inlineStr">
        <is>
          <t>Simples Nacional</t>
        </is>
      </c>
      <c r="C394" s="6" t="inlineStr">
        <is>
          <t>Advocacia (Anexo IV, R$ 600 mil) + comércio (R$ 300 mil): CPP fora do DAS estimada na proporção da receita do Anexo IV (regra de repartição da folha não lida: confirme); servico_anexo_iv; receita R$ 900.000,00/ano; folha CLT R$ 120.000,00; pró-labore R$ 36.000,00; compras R$ 150.000,00; ano 2026; receita em comercio R$ 300.000,00; ISS 5%</t>
        </is>
      </c>
      <c r="D394" s="5" t="inlineStr">
        <is>
          <t>DAS</t>
        </is>
      </c>
      <c r="E394" s="7" t="n">
        <v>82080</v>
      </c>
      <c r="F394" s="8" t="n"/>
      <c r="G394" s="7">
        <f>IF(F394="","",E394-F394)</f>
        <v/>
      </c>
      <c r="H394" s="5" t="n"/>
      <c r="I394" s="6" t="n"/>
    </row>
    <row r="395">
      <c r="A395" s="5" t="inlineStr">
        <is>
          <t>MIX2-SN</t>
        </is>
      </c>
      <c r="B395" s="5" t="inlineStr">
        <is>
          <t>Simples Nacional</t>
        </is>
      </c>
      <c r="C395" s="6" t="inlineStr">
        <is>
          <t>Advocacia (Anexo IV, R$ 600 mil) + comércio (R$ 300 mil): CPP fora do DAS estimada na proporção da receita do Anexo IV (regra de repartição da folha não lida: confirme); servico_anexo_iv; receita R$ 900.000,00/ano; folha CLT R$ 120.000,00; pró-labore R$ 36.000,00; compras R$ 150.000,00; ano 2026; receita em comercio R$ 300.000,00; ISS 5%</t>
        </is>
      </c>
      <c r="D395" s="5" t="inlineStr">
        <is>
          <t>INSS patronal (fora do DAS)</t>
        </is>
      </c>
      <c r="E395" s="7" t="n">
        <v>22400</v>
      </c>
      <c r="F395" s="8" t="n"/>
      <c r="G395" s="7">
        <f>IF(F395="","",E395-F395)</f>
        <v/>
      </c>
      <c r="H395" s="5" t="n"/>
      <c r="I395" s="6" t="n"/>
    </row>
    <row r="396">
      <c r="A396" s="9" t="inlineStr">
        <is>
          <t>MIX2-SN</t>
        </is>
      </c>
      <c r="B396" s="9" t="inlineStr">
        <is>
          <t>Simples Nacional</t>
        </is>
      </c>
      <c r="C396" s="10" t="inlineStr">
        <is>
          <t>Advocacia (Anexo IV, R$ 600 mil) + comércio (R$ 300 mil): CPP fora do DAS estimada na proporção da receita do Anexo IV (regra de repartição da folha não lida: confirme); servico_anexo_iv; receita R$ 900.000,00/ano; folha CLT R$ 120.000,00; pró-labore R$ 36.000,00; compras R$ 150.000,00; ano 2026; receita em comercio R$ 300.000,00; ISS 5%</t>
        </is>
      </c>
      <c r="D396" s="9" t="inlineStr">
        <is>
          <t>TOTAL</t>
        </is>
      </c>
      <c r="E396" s="11">
        <f>SUM(E394:E395)</f>
        <v/>
      </c>
      <c r="F396" s="12" t="n"/>
      <c r="G396" s="11">
        <f>IF(F396="","",E396-F396)</f>
        <v/>
      </c>
      <c r="H396" s="9" t="n"/>
      <c r="I396" s="10" t="n"/>
    </row>
    <row r="397">
      <c r="A397" s="13" t="inlineStr">
        <is>
          <t>MIX2-LP</t>
        </is>
      </c>
      <c r="B397" s="13" t="inlineStr">
        <is>
          <t>Lucro Presumido</t>
        </is>
      </c>
      <c r="C397" s="14" t="inlineStr">
        <is>
          <t>Advocacia (Anexo IV, R$ 600 mil) + comércio (R$ 300 mil): CPP fora do DAS estimada na proporção da receita do Anexo IV (regra de repartição da folha não lida: confirme); servico_anexo_iv; receita R$ 900.000,00/ano; folha CLT R$ 120.000,00; pró-labore R$ 36.000,00; compras R$ 150.000,00; ano 2026; receita em comercio R$ 300.000,00; ISS 5%</t>
        </is>
      </c>
      <c r="D397" s="13" t="inlineStr">
        <is>
          <t>IRPJ</t>
        </is>
      </c>
      <c r="E397" s="15" t="n">
        <v>32400</v>
      </c>
      <c r="F397" s="8" t="n"/>
      <c r="G397" s="15">
        <f>IF(F397="","",E397-F397)</f>
        <v/>
      </c>
      <c r="H397" s="13" t="n"/>
      <c r="I397" s="14" t="n"/>
    </row>
    <row r="398">
      <c r="A398" s="13" t="inlineStr">
        <is>
          <t>MIX2-LP</t>
        </is>
      </c>
      <c r="B398" s="13" t="inlineStr">
        <is>
          <t>Lucro Presumido</t>
        </is>
      </c>
      <c r="C398" s="14" t="inlineStr">
        <is>
          <t>Advocacia (Anexo IV, R$ 600 mil) + comércio (R$ 300 mil): CPP fora do DAS estimada na proporção da receita do Anexo IV (regra de repartição da folha não lida: confirme); servico_anexo_iv; receita R$ 900.000,00/ano; folha CLT R$ 120.000,00; pró-labore R$ 36.000,00; compras R$ 150.000,00; ano 2026; receita em comercio R$ 300.000,00; ISS 5%</t>
        </is>
      </c>
      <c r="D398" s="13" t="inlineStr">
        <is>
          <t>CSLL</t>
        </is>
      </c>
      <c r="E398" s="15" t="n">
        <v>20520</v>
      </c>
      <c r="F398" s="8" t="n"/>
      <c r="G398" s="15">
        <f>IF(F398="","",E398-F398)</f>
        <v/>
      </c>
      <c r="H398" s="13" t="n"/>
      <c r="I398" s="14" t="n"/>
    </row>
    <row r="399">
      <c r="A399" s="13" t="inlineStr">
        <is>
          <t>MIX2-LP</t>
        </is>
      </c>
      <c r="B399" s="13" t="inlineStr">
        <is>
          <t>Lucro Presumido</t>
        </is>
      </c>
      <c r="C399" s="14" t="inlineStr">
        <is>
          <t>Advocacia (Anexo IV, R$ 600 mil) + comércio (R$ 300 mil): CPP fora do DAS estimada na proporção da receita do Anexo IV (regra de repartição da folha não lida: confirme); servico_anexo_iv; receita R$ 900.000,00/ano; folha CLT R$ 120.000,00; pró-labore R$ 36.000,00; compras R$ 150.000,00; ano 2026; receita em comercio R$ 300.000,00; ISS 5%</t>
        </is>
      </c>
      <c r="D399" s="13" t="inlineStr">
        <is>
          <t>PIS</t>
        </is>
      </c>
      <c r="E399" s="15" t="n">
        <v>5850</v>
      </c>
      <c r="F399" s="8" t="n"/>
      <c r="G399" s="15">
        <f>IF(F399="","",E399-F399)</f>
        <v/>
      </c>
      <c r="H399" s="13" t="n"/>
      <c r="I399" s="14" t="n"/>
    </row>
    <row r="400">
      <c r="A400" s="13" t="inlineStr">
        <is>
          <t>MIX2-LP</t>
        </is>
      </c>
      <c r="B400" s="13" t="inlineStr">
        <is>
          <t>Lucro Presumido</t>
        </is>
      </c>
      <c r="C400" s="14" t="inlineStr">
        <is>
          <t>Advocacia (Anexo IV, R$ 600 mil) + comércio (R$ 300 mil): CPP fora do DAS estimada na proporção da receita do Anexo IV (regra de repartição da folha não lida: confirme); servico_anexo_iv; receita R$ 900.000,00/ano; folha CLT R$ 120.000,00; pró-labore R$ 36.000,00; compras R$ 150.000,00; ano 2026; receita em comercio R$ 300.000,00; ISS 5%</t>
        </is>
      </c>
      <c r="D400" s="13" t="inlineStr">
        <is>
          <t>Cofins</t>
        </is>
      </c>
      <c r="E400" s="15" t="n">
        <v>27000</v>
      </c>
      <c r="F400" s="8" t="n"/>
      <c r="G400" s="15">
        <f>IF(F400="","",E400-F400)</f>
        <v/>
      </c>
      <c r="H400" s="13" t="n"/>
      <c r="I400" s="14" t="n"/>
    </row>
    <row r="401">
      <c r="A401" s="13" t="inlineStr">
        <is>
          <t>MIX2-LP</t>
        </is>
      </c>
      <c r="B401" s="13" t="inlineStr">
        <is>
          <t>Lucro Presumido</t>
        </is>
      </c>
      <c r="C401" s="14" t="inlineStr">
        <is>
          <t>Advocacia (Anexo IV, R$ 600 mil) + comércio (R$ 300 mil): CPP fora do DAS estimada na proporção da receita do Anexo IV (regra de repartição da folha não lida: confirme); servico_anexo_iv; receita R$ 900.000,00/ano; folha CLT R$ 120.000,00; pró-labore R$ 36.000,00; compras R$ 150.000,00; ano 2026; receita em comercio R$ 300.000,00; ISS 5%</t>
        </is>
      </c>
      <c r="D401" s="13" t="inlineStr">
        <is>
          <t>ICMS</t>
        </is>
      </c>
      <c r="E401" s="15" t="n">
        <v>27000</v>
      </c>
      <c r="F401" s="8" t="n"/>
      <c r="G401" s="15">
        <f>IF(F401="","",E401-F401)</f>
        <v/>
      </c>
      <c r="H401" s="13" t="n"/>
      <c r="I401" s="14" t="n"/>
    </row>
    <row r="402">
      <c r="A402" s="13" t="inlineStr">
        <is>
          <t>MIX2-LP</t>
        </is>
      </c>
      <c r="B402" s="13" t="inlineStr">
        <is>
          <t>Lucro Presumido</t>
        </is>
      </c>
      <c r="C402" s="14" t="inlineStr">
        <is>
          <t>Advocacia (Anexo IV, R$ 600 mil) + comércio (R$ 300 mil): CPP fora do DAS estimada na proporção da receita do Anexo IV (regra de repartição da folha não lida: confirme); servico_anexo_iv; receita R$ 900.000,00/ano; folha CLT R$ 120.000,00; pró-labore R$ 36.000,00; compras R$ 150.000,00; ano 2026; receita em comercio R$ 300.000,00; ISS 5%</t>
        </is>
      </c>
      <c r="D402" s="13" t="inlineStr">
        <is>
          <t>ISS</t>
        </is>
      </c>
      <c r="E402" s="15" t="n">
        <v>30000</v>
      </c>
      <c r="F402" s="8" t="n"/>
      <c r="G402" s="15">
        <f>IF(F402="","",E402-F402)</f>
        <v/>
      </c>
      <c r="H402" s="13" t="n"/>
      <c r="I402" s="14" t="n"/>
    </row>
    <row r="403">
      <c r="A403" s="13" t="inlineStr">
        <is>
          <t>MIX2-LP</t>
        </is>
      </c>
      <c r="B403" s="13" t="inlineStr">
        <is>
          <t>Lucro Presumido</t>
        </is>
      </c>
      <c r="C403" s="14" t="inlineStr">
        <is>
          <t>Advocacia (Anexo IV, R$ 600 mil) + comércio (R$ 300 mil): CPP fora do DAS estimada na proporção da receita do Anexo IV (regra de repartição da folha não lida: confirme); servico_anexo_iv; receita R$ 900.000,00/ano; folha CLT R$ 120.000,00; pró-labore R$ 36.000,00; compras R$ 150.000,00; ano 2026; receita em comercio R$ 300.000,00; ISS 5%</t>
        </is>
      </c>
      <c r="D403" s="13" t="inlineStr">
        <is>
          <t>INSS patronal</t>
        </is>
      </c>
      <c r="E403" s="15" t="n">
        <v>40560</v>
      </c>
      <c r="F403" s="8" t="n"/>
      <c r="G403" s="15">
        <f>IF(F403="","",E403-F403)</f>
        <v/>
      </c>
      <c r="H403" s="13" t="n"/>
      <c r="I403" s="14" t="n"/>
    </row>
    <row r="404">
      <c r="A404" s="16" t="inlineStr">
        <is>
          <t>MIX2-LP</t>
        </is>
      </c>
      <c r="B404" s="16" t="inlineStr">
        <is>
          <t>Lucro Presumido</t>
        </is>
      </c>
      <c r="C404" s="17" t="inlineStr">
        <is>
          <t>Advocacia (Anexo IV, R$ 600 mil) + comércio (R$ 300 mil): CPP fora do DAS estimada na proporção da receita do Anexo IV (regra de repartição da folha não lida: confirme); servico_anexo_iv; receita R$ 900.000,00/ano; folha CLT R$ 120.000,00; pró-labore R$ 36.000,00; compras R$ 150.000,00; ano 2026; receita em comercio R$ 300.000,00; ISS 5%</t>
        </is>
      </c>
      <c r="D404" s="16" t="inlineStr">
        <is>
          <t>TOTAL</t>
        </is>
      </c>
      <c r="E404" s="18">
        <f>SUM(E397:E403)</f>
        <v/>
      </c>
      <c r="F404" s="12" t="n"/>
      <c r="G404" s="18">
        <f>IF(F404="","",E404-F404)</f>
        <v/>
      </c>
      <c r="H404" s="16" t="n"/>
      <c r="I404" s="17" t="n"/>
    </row>
    <row r="405">
      <c r="A405" s="5" t="inlineStr">
        <is>
          <t>MIX2-LR</t>
        </is>
      </c>
      <c r="B405" s="5" t="inlineStr">
        <is>
          <t>Lucro Real</t>
        </is>
      </c>
      <c r="C405" s="6" t="inlineStr">
        <is>
          <t>Advocacia (Anexo IV, R$ 600 mil) + comércio (R$ 300 mil): CPP fora do DAS estimada na proporção da receita do Anexo IV (regra de repartição da folha não lida: confirme); servico_anexo_iv; receita R$ 900.000,00/ano; folha CLT R$ 120.000,00; pró-labore R$ 36.000,00; compras R$ 150.000,00; ano 2026; receita em comercio R$ 300.000,00; ISS 5%</t>
        </is>
      </c>
      <c r="D405" s="5" t="inlineStr">
        <is>
          <t>PIS</t>
        </is>
      </c>
      <c r="E405" s="7" t="n">
        <v>12375</v>
      </c>
      <c r="F405" s="8" t="n"/>
      <c r="G405" s="7">
        <f>IF(F405="","",E405-F405)</f>
        <v/>
      </c>
      <c r="H405" s="5" t="n"/>
      <c r="I405" s="6" t="n"/>
    </row>
    <row r="406">
      <c r="A406" s="5" t="inlineStr">
        <is>
          <t>MIX2-LR</t>
        </is>
      </c>
      <c r="B406" s="5" t="inlineStr">
        <is>
          <t>Lucro Real</t>
        </is>
      </c>
      <c r="C406" s="6" t="inlineStr">
        <is>
          <t>Advocacia (Anexo IV, R$ 600 mil) + comércio (R$ 300 mil): CPP fora do DAS estimada na proporção da receita do Anexo IV (regra de repartição da folha não lida: confirme); servico_anexo_iv; receita R$ 900.000,00/ano; folha CLT R$ 120.000,00; pró-labore R$ 36.000,00; compras R$ 150.000,00; ano 2026; receita em comercio R$ 300.000,00; ISS 5%</t>
        </is>
      </c>
      <c r="D406" s="5" t="inlineStr">
        <is>
          <t>Cofins</t>
        </is>
      </c>
      <c r="E406" s="7" t="n">
        <v>57000</v>
      </c>
      <c r="F406" s="8" t="n"/>
      <c r="G406" s="7">
        <f>IF(F406="","",E406-F406)</f>
        <v/>
      </c>
      <c r="H406" s="5" t="n"/>
      <c r="I406" s="6" t="n"/>
    </row>
    <row r="407">
      <c r="A407" s="5" t="inlineStr">
        <is>
          <t>MIX2-LR</t>
        </is>
      </c>
      <c r="B407" s="5" t="inlineStr">
        <is>
          <t>Lucro Real</t>
        </is>
      </c>
      <c r="C407" s="6" t="inlineStr">
        <is>
          <t>Advocacia (Anexo IV, R$ 600 mil) + comércio (R$ 300 mil): CPP fora do DAS estimada na proporção da receita do Anexo IV (regra de repartição da folha não lida: confirme); servico_anexo_iv; receita R$ 900.000,00/ano; folha CLT R$ 120.000,00; pró-labore R$ 36.000,00; compras R$ 150.000,00; ano 2026; receita em comercio R$ 300.000,00; ISS 5%</t>
        </is>
      </c>
      <c r="D407" s="5" t="inlineStr">
        <is>
          <t>ICMS</t>
        </is>
      </c>
      <c r="E407" s="7" t="n">
        <v>27000</v>
      </c>
      <c r="F407" s="8" t="n"/>
      <c r="G407" s="7">
        <f>IF(F407="","",E407-F407)</f>
        <v/>
      </c>
      <c r="H407" s="5" t="n"/>
      <c r="I407" s="6" t="n"/>
    </row>
    <row r="408">
      <c r="A408" s="5" t="inlineStr">
        <is>
          <t>MIX2-LR</t>
        </is>
      </c>
      <c r="B408" s="5" t="inlineStr">
        <is>
          <t>Lucro Real</t>
        </is>
      </c>
      <c r="C408" s="6" t="inlineStr">
        <is>
          <t>Advocacia (Anexo IV, R$ 600 mil) + comércio (R$ 300 mil): CPP fora do DAS estimada na proporção da receita do Anexo IV (regra de repartição da folha não lida: confirme); servico_anexo_iv; receita R$ 900.000,00/ano; folha CLT R$ 120.000,00; pró-labore R$ 36.000,00; compras R$ 150.000,00; ano 2026; receita em comercio R$ 300.000,00; ISS 5%</t>
        </is>
      </c>
      <c r="D408" s="5" t="inlineStr">
        <is>
          <t>ISS</t>
        </is>
      </c>
      <c r="E408" s="7" t="n">
        <v>30000</v>
      </c>
      <c r="F408" s="8" t="n"/>
      <c r="G408" s="7">
        <f>IF(F408="","",E408-F408)</f>
        <v/>
      </c>
      <c r="H408" s="5" t="n"/>
      <c r="I408" s="6" t="n"/>
    </row>
    <row r="409">
      <c r="A409" s="5" t="inlineStr">
        <is>
          <t>MIX2-LR</t>
        </is>
      </c>
      <c r="B409" s="5" t="inlineStr">
        <is>
          <t>Lucro Real</t>
        </is>
      </c>
      <c r="C409" s="6" t="inlineStr">
        <is>
          <t>Advocacia (Anexo IV, R$ 600 mil) + comércio (R$ 300 mil): CPP fora do DAS estimada na proporção da receita do Anexo IV (regra de repartição da folha não lida: confirme); servico_anexo_iv; receita R$ 900.000,00/ano; folha CLT R$ 120.000,00; pró-labore R$ 36.000,00; compras R$ 150.000,00; ano 2026; receita em comercio R$ 300.000,00; ISS 5%</t>
        </is>
      </c>
      <c r="D409" s="5" t="inlineStr">
        <is>
          <t>INSS patronal</t>
        </is>
      </c>
      <c r="E409" s="7" t="n">
        <v>40560</v>
      </c>
      <c r="F409" s="8" t="n"/>
      <c r="G409" s="7">
        <f>IF(F409="","",E409-F409)</f>
        <v/>
      </c>
      <c r="H409" s="5" t="n"/>
      <c r="I409" s="6" t="n"/>
    </row>
    <row r="410">
      <c r="A410" s="5" t="inlineStr">
        <is>
          <t>MIX2-LR</t>
        </is>
      </c>
      <c r="B410" s="5" t="inlineStr">
        <is>
          <t>Lucro Real</t>
        </is>
      </c>
      <c r="C410" s="6" t="inlineStr">
        <is>
          <t>Advocacia (Anexo IV, R$ 600 mil) + comércio (R$ 300 mil): CPP fora do DAS estimada na proporção da receita do Anexo IV (regra de repartição da folha não lida: confirme); servico_anexo_iv; receita R$ 900.000,00/ano; folha CLT R$ 120.000,00; pró-labore R$ 36.000,00; compras R$ 150.000,00; ano 2026; receita em comercio R$ 300.000,00; ISS 5%</t>
        </is>
      </c>
      <c r="D410" s="5" t="inlineStr">
        <is>
          <t>IRPJ</t>
        </is>
      </c>
      <c r="E410" s="7" t="n">
        <v>80366.25</v>
      </c>
      <c r="F410" s="8" t="n"/>
      <c r="G410" s="7">
        <f>IF(F410="","",E410-F410)</f>
        <v/>
      </c>
      <c r="H410" s="5" t="n"/>
      <c r="I410" s="6" t="n"/>
    </row>
    <row r="411">
      <c r="A411" s="5" t="inlineStr">
        <is>
          <t>MIX2-LR</t>
        </is>
      </c>
      <c r="B411" s="5" t="inlineStr">
        <is>
          <t>Lucro Real</t>
        </is>
      </c>
      <c r="C411" s="6" t="inlineStr">
        <is>
          <t>Advocacia (Anexo IV, R$ 600 mil) + comércio (R$ 300 mil): CPP fora do DAS estimada na proporção da receita do Anexo IV (regra de repartição da folha não lida: confirme); servico_anexo_iv; receita R$ 900.000,00/ano; folha CLT R$ 120.000,00; pró-labore R$ 36.000,00; compras R$ 150.000,00; ano 2026; receita em comercio R$ 300.000,00; ISS 5%</t>
        </is>
      </c>
      <c r="D411" s="5" t="inlineStr">
        <is>
          <t>CSLL</t>
        </is>
      </c>
      <c r="E411" s="7" t="n">
        <v>37571.85</v>
      </c>
      <c r="F411" s="8" t="n"/>
      <c r="G411" s="7">
        <f>IF(F411="","",E411-F411)</f>
        <v/>
      </c>
      <c r="H411" s="5" t="n"/>
      <c r="I411" s="6" t="n"/>
    </row>
    <row r="412">
      <c r="A412" s="9" t="inlineStr">
        <is>
          <t>MIX2-LR</t>
        </is>
      </c>
      <c r="B412" s="9" t="inlineStr">
        <is>
          <t>Lucro Real</t>
        </is>
      </c>
      <c r="C412" s="10" t="inlineStr">
        <is>
          <t>Advocacia (Anexo IV, R$ 600 mil) + comércio (R$ 300 mil): CPP fora do DAS estimada na proporção da receita do Anexo IV (regra de repartição da folha não lida: confirme); servico_anexo_iv; receita R$ 900.000,00/ano; folha CLT R$ 120.000,00; pró-labore R$ 36.000,00; compras R$ 150.000,00; ano 2026; receita em comercio R$ 300.000,00; ISS 5%</t>
        </is>
      </c>
      <c r="D412" s="9" t="inlineStr">
        <is>
          <t>TOTAL</t>
        </is>
      </c>
      <c r="E412" s="11">
        <f>SUM(E405:E411)</f>
        <v/>
      </c>
      <c r="F412" s="12" t="n"/>
      <c r="G412" s="11">
        <f>IF(F412="","",E412-F412)</f>
        <v/>
      </c>
      <c r="H412" s="9" t="n"/>
      <c r="I412" s="10" t="n"/>
    </row>
    <row r="413">
      <c r="A413" s="13" t="inlineStr">
        <is>
          <t>MIX3-SN</t>
        </is>
      </c>
      <c r="B413" s="13" t="inlineStr">
        <is>
          <t>Simples Nacional</t>
        </is>
      </c>
      <c r="C413" s="14" t="inlineStr">
        <is>
          <t>Mesma empresa do MIX1 em 2027: CBS e IBS no Presumido e no Real, DAS com a tabela de 2027; comercio; receita R$ 1.800.000,00/ano; folha CLT R$ 240.000,00; pró-labore R$ 60.000,00; compras R$ 700.000,00; ano 2027; receita em servico_fator_r R$ 600.000,00; ICMS 18%</t>
        </is>
      </c>
      <c r="D413" s="13" t="inlineStr">
        <is>
          <t>DAS</t>
        </is>
      </c>
      <c r="E413" s="15" t="n">
        <v>230700</v>
      </c>
      <c r="F413" s="8" t="n"/>
      <c r="G413" s="15">
        <f>IF(F413="","",E413-F413)</f>
        <v/>
      </c>
      <c r="H413" s="13" t="n"/>
      <c r="I413" s="14" t="n"/>
    </row>
    <row r="414">
      <c r="A414" s="16" t="inlineStr">
        <is>
          <t>MIX3-SN</t>
        </is>
      </c>
      <c r="B414" s="16" t="inlineStr">
        <is>
          <t>Simples Nacional</t>
        </is>
      </c>
      <c r="C414" s="17" t="inlineStr">
        <is>
          <t>Mesma empresa do MIX1 em 2027: CBS e IBS no Presumido e no Real, DAS com a tabela de 2027; comercio; receita R$ 1.800.000,00/ano; folha CLT R$ 240.000,00; pró-labore R$ 60.000,00; compras R$ 700.000,00; ano 2027; receita em servico_fator_r R$ 600.000,00; ICMS 18%</t>
        </is>
      </c>
      <c r="D414" s="16" t="inlineStr">
        <is>
          <t>TOTAL</t>
        </is>
      </c>
      <c r="E414" s="18">
        <f>SUM(E413:E413)</f>
        <v/>
      </c>
      <c r="F414" s="12" t="n"/>
      <c r="G414" s="18">
        <f>IF(F414="","",E414-F414)</f>
        <v/>
      </c>
      <c r="H414" s="16" t="n"/>
      <c r="I414" s="17" t="n"/>
    </row>
    <row r="415">
      <c r="A415" s="5" t="inlineStr">
        <is>
          <t>MIX3-LP</t>
        </is>
      </c>
      <c r="B415" s="5" t="inlineStr">
        <is>
          <t>Lucro Presumido</t>
        </is>
      </c>
      <c r="C415" s="6" t="inlineStr">
        <is>
          <t>Mesma empresa do MIX1 em 2027: CBS e IBS no Presumido e no Real, DAS com a tabela de 2027; comercio; receita R$ 1.800.000,00/ano; folha CLT R$ 240.000,00; pró-labore R$ 60.000,00; compras R$ 700.000,00; ano 2027; receita em servico_fator_r R$ 600.000,00; ICMS 18%</t>
        </is>
      </c>
      <c r="D415" s="5" t="inlineStr">
        <is>
          <t>IRPJ</t>
        </is>
      </c>
      <c r="E415" s="7" t="n">
        <v>45372</v>
      </c>
      <c r="F415" s="8" t="n"/>
      <c r="G415" s="7">
        <f>IF(F415="","",E415-F415)</f>
        <v/>
      </c>
      <c r="H415" s="5" t="n"/>
      <c r="I415" s="6" t="n"/>
    </row>
    <row r="416">
      <c r="A416" s="5" t="inlineStr">
        <is>
          <t>MIX3-LP</t>
        </is>
      </c>
      <c r="B416" s="5" t="inlineStr">
        <is>
          <t>Lucro Presumido</t>
        </is>
      </c>
      <c r="C416" s="6" t="inlineStr">
        <is>
          <t>Mesma empresa do MIX1 em 2027: CBS e IBS no Presumido e no Real, DAS com a tabela de 2027; comercio; receita R$ 1.800.000,00/ano; folha CLT R$ 240.000,00; pró-labore R$ 60.000,00; compras R$ 700.000,00; ano 2027; receita em servico_fator_r R$ 600.000,00; ICMS 18%</t>
        </is>
      </c>
      <c r="D416" s="5" t="inlineStr">
        <is>
          <t>CSLL</t>
        </is>
      </c>
      <c r="E416" s="7" t="n">
        <v>29136.24</v>
      </c>
      <c r="F416" s="8" t="n"/>
      <c r="G416" s="7">
        <f>IF(F416="","",E416-F416)</f>
        <v/>
      </c>
      <c r="H416" s="5" t="n"/>
      <c r="I416" s="6" t="n"/>
    </row>
    <row r="417">
      <c r="A417" s="5" t="inlineStr">
        <is>
          <t>MIX3-LP</t>
        </is>
      </c>
      <c r="B417" s="5" t="inlineStr">
        <is>
          <t>Lucro Presumido</t>
        </is>
      </c>
      <c r="C417" s="6" t="inlineStr">
        <is>
          <t>Mesma empresa do MIX1 em 2027: CBS e IBS no Presumido e no Real, DAS com a tabela de 2027; comercio; receita R$ 1.800.000,00/ano; folha CLT R$ 240.000,00; pró-labore R$ 60.000,00; compras R$ 700.000,00; ano 2027; receita em servico_fator_r R$ 600.000,00; ICMS 18%</t>
        </is>
      </c>
      <c r="D417" s="5" t="inlineStr">
        <is>
          <t>CBS</t>
        </is>
      </c>
      <c r="E417" s="7" t="n">
        <v>85177.35000000001</v>
      </c>
      <c r="F417" s="8" t="n"/>
      <c r="G417" s="7">
        <f>IF(F417="","",E417-F417)</f>
        <v/>
      </c>
      <c r="H417" s="5" t="n"/>
      <c r="I417" s="6" t="n"/>
    </row>
    <row r="418">
      <c r="A418" s="5" t="inlineStr">
        <is>
          <t>MIX3-LP</t>
        </is>
      </c>
      <c r="B418" s="5" t="inlineStr">
        <is>
          <t>Lucro Presumido</t>
        </is>
      </c>
      <c r="C418" s="6" t="inlineStr">
        <is>
          <t>Mesma empresa do MIX1 em 2027: CBS e IBS no Presumido e no Real, DAS com a tabela de 2027; comercio; receita R$ 1.800.000,00/ano; folha CLT R$ 240.000,00; pró-labore R$ 60.000,00; compras R$ 700.000,00; ano 2027; receita em servico_fator_r R$ 600.000,00; ICMS 18%</t>
        </is>
      </c>
      <c r="D418" s="5" t="inlineStr">
        <is>
          <t>IBS</t>
        </is>
      </c>
      <c r="E418" s="7" t="n">
        <v>979.05</v>
      </c>
      <c r="F418" s="8" t="n"/>
      <c r="G418" s="7">
        <f>IF(F418="","",E418-F418)</f>
        <v/>
      </c>
      <c r="H418" s="5" t="n"/>
      <c r="I418" s="6" t="n"/>
    </row>
    <row r="419">
      <c r="A419" s="5" t="inlineStr">
        <is>
          <t>MIX3-LP</t>
        </is>
      </c>
      <c r="B419" s="5" t="inlineStr">
        <is>
          <t>Lucro Presumido</t>
        </is>
      </c>
      <c r="C419" s="6" t="inlineStr">
        <is>
          <t>Mesma empresa do MIX1 em 2027: CBS e IBS no Presumido e no Real, DAS com a tabela de 2027; comercio; receita R$ 1.800.000,00/ano; folha CLT R$ 240.000,00; pró-labore R$ 60.000,00; compras R$ 700.000,00; ano 2027; receita em servico_fator_r R$ 600.000,00; ICMS 18%</t>
        </is>
      </c>
      <c r="D419" s="5" t="inlineStr">
        <is>
          <t>ICMS</t>
        </is>
      </c>
      <c r="E419" s="7" t="n">
        <v>90000</v>
      </c>
      <c r="F419" s="8" t="n"/>
      <c r="G419" s="7">
        <f>IF(F419="","",E419-F419)</f>
        <v/>
      </c>
      <c r="H419" s="5" t="n"/>
      <c r="I419" s="6" t="n"/>
    </row>
    <row r="420">
      <c r="A420" s="5" t="inlineStr">
        <is>
          <t>MIX3-LP</t>
        </is>
      </c>
      <c r="B420" s="5" t="inlineStr">
        <is>
          <t>Lucro Presumido</t>
        </is>
      </c>
      <c r="C420" s="6" t="inlineStr">
        <is>
          <t>Mesma empresa do MIX1 em 2027: CBS e IBS no Presumido e no Real, DAS com a tabela de 2027; comercio; receita R$ 1.800.000,00/ano; folha CLT R$ 240.000,00; pró-labore R$ 60.000,00; compras R$ 700.000,00; ano 2027; receita em servico_fator_r R$ 600.000,00; ICMS 18%</t>
        </is>
      </c>
      <c r="D420" s="5" t="inlineStr">
        <is>
          <t>ISS</t>
        </is>
      </c>
      <c r="E420" s="7" t="n">
        <v>30000</v>
      </c>
      <c r="F420" s="8" t="n"/>
      <c r="G420" s="7">
        <f>IF(F420="","",E420-F420)</f>
        <v/>
      </c>
      <c r="H420" s="5" t="n"/>
      <c r="I420" s="6" t="n"/>
    </row>
    <row r="421">
      <c r="A421" s="5" t="inlineStr">
        <is>
          <t>MIX3-LP</t>
        </is>
      </c>
      <c r="B421" s="5" t="inlineStr">
        <is>
          <t>Lucro Presumido</t>
        </is>
      </c>
      <c r="C421" s="6" t="inlineStr">
        <is>
          <t>Mesma empresa do MIX1 em 2027: CBS e IBS no Presumido e no Real, DAS com a tabela de 2027; comercio; receita R$ 1.800.000,00/ano; folha CLT R$ 240.000,00; pró-labore R$ 60.000,00; compras R$ 700.000,00; ano 2027; receita em servico_fator_r R$ 600.000,00; ICMS 18%</t>
        </is>
      </c>
      <c r="D421" s="5" t="inlineStr">
        <is>
          <t>INSS patronal</t>
        </is>
      </c>
      <c r="E421" s="7" t="n">
        <v>78720</v>
      </c>
      <c r="F421" s="8" t="n"/>
      <c r="G421" s="7">
        <f>IF(F421="","",E421-F421)</f>
        <v/>
      </c>
      <c r="H421" s="5" t="n"/>
      <c r="I421" s="6" t="n"/>
    </row>
    <row r="422">
      <c r="A422" s="9" t="inlineStr">
        <is>
          <t>MIX3-LP</t>
        </is>
      </c>
      <c r="B422" s="9" t="inlineStr">
        <is>
          <t>Lucro Presumido</t>
        </is>
      </c>
      <c r="C422" s="10" t="inlineStr">
        <is>
          <t>Mesma empresa do MIX1 em 2027: CBS e IBS no Presumido e no Real, DAS com a tabela de 2027; comercio; receita R$ 1.800.000,00/ano; folha CLT R$ 240.000,00; pró-labore R$ 60.000,00; compras R$ 700.000,00; ano 2027; receita em servico_fator_r R$ 600.000,00; ICMS 18%</t>
        </is>
      </c>
      <c r="D422" s="9" t="inlineStr">
        <is>
          <t>TOTAL</t>
        </is>
      </c>
      <c r="E422" s="11">
        <f>SUM(E415:E421)</f>
        <v/>
      </c>
      <c r="F422" s="12" t="n"/>
      <c r="G422" s="11">
        <f>IF(F422="","",E422-F422)</f>
        <v/>
      </c>
      <c r="H422" s="9" t="n"/>
      <c r="I422" s="10" t="n"/>
    </row>
    <row r="423">
      <c r="A423" s="13" t="inlineStr">
        <is>
          <t>MIX3-LR</t>
        </is>
      </c>
      <c r="B423" s="13" t="inlineStr">
        <is>
          <t>Lucro Real</t>
        </is>
      </c>
      <c r="C423" s="14" t="inlineStr">
        <is>
          <t>Mesma empresa do MIX1 em 2027: CBS e IBS no Presumido e no Real, DAS com a tabela de 2027; comercio; receita R$ 1.800.000,00/ano; folha CLT R$ 240.000,00; pró-labore R$ 60.000,00; compras R$ 700.000,00; ano 2027; receita em servico_fator_r R$ 600.000,00; ICMS 18%</t>
        </is>
      </c>
      <c r="D423" s="13" t="inlineStr">
        <is>
          <t>CBS</t>
        </is>
      </c>
      <c r="E423" s="15" t="n">
        <v>76407.75</v>
      </c>
      <c r="F423" s="8" t="n"/>
      <c r="G423" s="15">
        <f>IF(F423="","",E423-F423)</f>
        <v/>
      </c>
      <c r="H423" s="13" t="n"/>
      <c r="I423" s="14" t="n"/>
    </row>
    <row r="424">
      <c r="A424" s="13" t="inlineStr">
        <is>
          <t>MIX3-LR</t>
        </is>
      </c>
      <c r="B424" s="13" t="inlineStr">
        <is>
          <t>Lucro Real</t>
        </is>
      </c>
      <c r="C424" s="14" t="inlineStr">
        <is>
          <t>Mesma empresa do MIX1 em 2027: CBS e IBS no Presumido e no Real, DAS com a tabela de 2027; comercio; receita R$ 1.800.000,00/ano; folha CLT R$ 240.000,00; pró-labore R$ 60.000,00; compras R$ 700.000,00; ano 2027; receita em servico_fator_r R$ 600.000,00; ICMS 18%</t>
        </is>
      </c>
      <c r="D424" s="13" t="inlineStr">
        <is>
          <t>IBS</t>
        </is>
      </c>
      <c r="E424" s="15" t="n">
        <v>878.25</v>
      </c>
      <c r="F424" s="8" t="n"/>
      <c r="G424" s="15">
        <f>IF(F424="","",E424-F424)</f>
        <v/>
      </c>
      <c r="H424" s="13" t="n"/>
      <c r="I424" s="14" t="n"/>
    </row>
    <row r="425">
      <c r="A425" s="13" t="inlineStr">
        <is>
          <t>MIX3-LR</t>
        </is>
      </c>
      <c r="B425" s="13" t="inlineStr">
        <is>
          <t>Lucro Real</t>
        </is>
      </c>
      <c r="C425" s="14" t="inlineStr">
        <is>
          <t>Mesma empresa do MIX1 em 2027: CBS e IBS no Presumido e no Real, DAS com a tabela de 2027; comercio; receita R$ 1.800.000,00/ano; folha CLT R$ 240.000,00; pró-labore R$ 60.000,00; compras R$ 700.000,00; ano 2027; receita em servico_fator_r R$ 600.000,00; ICMS 18%</t>
        </is>
      </c>
      <c r="D425" s="13" t="inlineStr">
        <is>
          <t>ICMS</t>
        </is>
      </c>
      <c r="E425" s="15" t="n">
        <v>90000</v>
      </c>
      <c r="F425" s="8" t="n"/>
      <c r="G425" s="15">
        <f>IF(F425="","",E425-F425)</f>
        <v/>
      </c>
      <c r="H425" s="13" t="n"/>
      <c r="I425" s="14" t="n"/>
    </row>
    <row r="426">
      <c r="A426" s="13" t="inlineStr">
        <is>
          <t>MIX3-LR</t>
        </is>
      </c>
      <c r="B426" s="13" t="inlineStr">
        <is>
          <t>Lucro Real</t>
        </is>
      </c>
      <c r="C426" s="14" t="inlineStr">
        <is>
          <t>Mesma empresa do MIX1 em 2027: CBS e IBS no Presumido e no Real, DAS com a tabela de 2027; comercio; receita R$ 1.800.000,00/ano; folha CLT R$ 240.000,00; pró-labore R$ 60.000,00; compras R$ 700.000,00; ano 2027; receita em servico_fator_r R$ 600.000,00; ICMS 18%</t>
        </is>
      </c>
      <c r="D426" s="13" t="inlineStr">
        <is>
          <t>ISS</t>
        </is>
      </c>
      <c r="E426" s="15" t="n">
        <v>30000</v>
      </c>
      <c r="F426" s="8" t="n"/>
      <c r="G426" s="15">
        <f>IF(F426="","",E426-F426)</f>
        <v/>
      </c>
      <c r="H426" s="13" t="n"/>
      <c r="I426" s="14" t="n"/>
    </row>
    <row r="427">
      <c r="A427" s="13" t="inlineStr">
        <is>
          <t>MIX3-LR</t>
        </is>
      </c>
      <c r="B427" s="13" t="inlineStr">
        <is>
          <t>Lucro Real</t>
        </is>
      </c>
      <c r="C427" s="14" t="inlineStr">
        <is>
          <t>Mesma empresa do MIX1 em 2027: CBS e IBS no Presumido e no Real, DAS com a tabela de 2027; comercio; receita R$ 1.800.000,00/ano; folha CLT R$ 240.000,00; pró-labore R$ 60.000,00; compras R$ 700.000,00; ano 2027; receita em servico_fator_r R$ 600.000,00; ICMS 18%</t>
        </is>
      </c>
      <c r="D427" s="13" t="inlineStr">
        <is>
          <t>INSS patronal</t>
        </is>
      </c>
      <c r="E427" s="15" t="n">
        <v>78720</v>
      </c>
      <c r="F427" s="8" t="n"/>
      <c r="G427" s="15">
        <f>IF(F427="","",E427-F427)</f>
        <v/>
      </c>
      <c r="H427" s="13" t="n"/>
      <c r="I427" s="14" t="n"/>
    </row>
    <row r="428">
      <c r="A428" s="13" t="inlineStr">
        <is>
          <t>MIX3-LR</t>
        </is>
      </c>
      <c r="B428" s="13" t="inlineStr">
        <is>
          <t>Lucro Real</t>
        </is>
      </c>
      <c r="C428" s="14" t="inlineStr">
        <is>
          <t>Mesma empresa do MIX1 em 2027: CBS e IBS no Presumido e no Real, DAS com a tabela de 2027; comercio; receita R$ 1.800.000,00/ano; folha CLT R$ 240.000,00; pró-labore R$ 60.000,00; compras R$ 700.000,00; ano 2027; receita em servico_fator_r R$ 600.000,00; ICMS 18%</t>
        </is>
      </c>
      <c r="D428" s="13" t="inlineStr">
        <is>
          <t>IRPJ</t>
        </is>
      </c>
      <c r="E428" s="15" t="n">
        <v>91098.5</v>
      </c>
      <c r="F428" s="8" t="n"/>
      <c r="G428" s="15">
        <f>IF(F428="","",E428-F428)</f>
        <v/>
      </c>
      <c r="H428" s="13" t="n"/>
      <c r="I428" s="14" t="n"/>
    </row>
    <row r="429">
      <c r="A429" s="13" t="inlineStr">
        <is>
          <t>MIX3-LR</t>
        </is>
      </c>
      <c r="B429" s="13" t="inlineStr">
        <is>
          <t>Lucro Real</t>
        </is>
      </c>
      <c r="C429" s="14" t="inlineStr">
        <is>
          <t>Mesma empresa do MIX1 em 2027: CBS e IBS no Presumido e no Real, DAS com a tabela de 2027; comercio; receita R$ 1.800.000,00/ano; folha CLT R$ 240.000,00; pró-labore R$ 60.000,00; compras R$ 700.000,00; ano 2027; receita em servico_fator_r R$ 600.000,00; ICMS 18%</t>
        </is>
      </c>
      <c r="D429" s="13" t="inlineStr">
        <is>
          <t>CSLL</t>
        </is>
      </c>
      <c r="E429" s="15" t="n">
        <v>41435.46</v>
      </c>
      <c r="F429" s="8" t="n"/>
      <c r="G429" s="15">
        <f>IF(F429="","",E429-F429)</f>
        <v/>
      </c>
      <c r="H429" s="13" t="n"/>
      <c r="I429" s="14" t="n"/>
    </row>
    <row r="430">
      <c r="A430" s="16" t="inlineStr">
        <is>
          <t>MIX3-LR</t>
        </is>
      </c>
      <c r="B430" s="16" t="inlineStr">
        <is>
          <t>Lucro Real</t>
        </is>
      </c>
      <c r="C430" s="17" t="inlineStr">
        <is>
          <t>Mesma empresa do MIX1 em 2027: CBS e IBS no Presumido e no Real, DAS com a tabela de 2027; comercio; receita R$ 1.800.000,00/ano; folha CLT R$ 240.000,00; pró-labore R$ 60.000,00; compras R$ 700.000,00; ano 2027; receita em servico_fator_r R$ 600.000,00; ICMS 18%</t>
        </is>
      </c>
      <c r="D430" s="16" t="inlineStr">
        <is>
          <t>TOTAL</t>
        </is>
      </c>
      <c r="E430" s="18">
        <f>SUM(E423:E429)</f>
        <v/>
      </c>
      <c r="F430" s="12" t="n"/>
      <c r="G430" s="18">
        <f>IF(F430="","",E430-F430)</f>
        <v/>
      </c>
      <c r="H430" s="16" t="n"/>
      <c r="I430" s="17" t="n"/>
    </row>
    <row r="431">
      <c r="A431" s="5" t="inlineStr">
        <is>
          <t>SR4-2028</t>
        </is>
      </c>
      <c r="B431" s="5" t="inlineStr">
        <is>
          <t>Simples na Reforma - 2028</t>
        </is>
      </c>
      <c r="C431" s="6" t="inlineStr">
        <is>
          <t>Comércio, 80% B2B, compras de fornecedores do regime regular; receita R$ 2.000.000,00</t>
        </is>
      </c>
      <c r="D431" s="5" t="inlineStr">
        <is>
          <t>Receita líquida — dentro do DAS</t>
        </is>
      </c>
      <c r="E431" s="7" t="n">
        <v>1801300</v>
      </c>
      <c r="F431" s="8" t="n"/>
      <c r="G431" s="7">
        <f>IF(F431="","",E431-F431)</f>
        <v/>
      </c>
      <c r="H431" s="5" t="n"/>
      <c r="I431" s="6" t="n"/>
    </row>
    <row r="432">
      <c r="A432" s="5" t="inlineStr">
        <is>
          <t>SR4-2028</t>
        </is>
      </c>
      <c r="B432" s="5" t="inlineStr">
        <is>
          <t>Simples na Reforma - 2028</t>
        </is>
      </c>
      <c r="C432" s="6" t="inlineStr">
        <is>
          <t>Comércio, 80% B2B, compras de fornecedores do regime regular; receita R$ 2.000.000,00</t>
        </is>
      </c>
      <c r="D432" s="5" t="inlineStr">
        <is>
          <t>Receita líquida — por fora</t>
        </is>
      </c>
      <c r="E432" s="7" t="n">
        <v>1885491.26</v>
      </c>
      <c r="F432" s="8" t="n"/>
      <c r="G432" s="7">
        <f>IF(F432="","",E432-F432)</f>
        <v/>
      </c>
      <c r="H432" s="5" t="n"/>
      <c r="I432" s="6" t="n"/>
    </row>
    <row r="433">
      <c r="A433" s="13" t="inlineStr">
        <is>
          <t>SR4-2029</t>
        </is>
      </c>
      <c r="B433" s="13" t="inlineStr">
        <is>
          <t>Simples na Reforma - 2029</t>
        </is>
      </c>
      <c r="C433" s="14" t="inlineStr">
        <is>
          <t>Comércio, 80% B2B, compras de fornecedores do regime regular; receita R$ 2.000.000,00</t>
        </is>
      </c>
      <c r="D433" s="13" t="inlineStr">
        <is>
          <t>Receita líquida — dentro do DAS</t>
        </is>
      </c>
      <c r="E433" s="15" t="n">
        <v>1801300</v>
      </c>
      <c r="F433" s="8" t="n"/>
      <c r="G433" s="15">
        <f>IF(F433="","",E433-F433)</f>
        <v/>
      </c>
      <c r="H433" s="13" t="n"/>
      <c r="I433" s="14" t="n"/>
    </row>
    <row r="434">
      <c r="A434" s="13" t="inlineStr">
        <is>
          <t>SR4-2029</t>
        </is>
      </c>
      <c r="B434" s="13" t="inlineStr">
        <is>
          <t>Simples na Reforma - 2029</t>
        </is>
      </c>
      <c r="C434" s="14" t="inlineStr">
        <is>
          <t>Comércio, 80% B2B, compras de fornecedores do regime regular; receita R$ 2.000.000,00</t>
        </is>
      </c>
      <c r="D434" s="13" t="inlineStr">
        <is>
          <t>Receita líquida — por fora</t>
        </is>
      </c>
      <c r="E434" s="15" t="n">
        <v>1902891.4</v>
      </c>
      <c r="F434" s="8" t="n"/>
      <c r="G434" s="15">
        <f>IF(F434="","",E434-F434)</f>
        <v/>
      </c>
      <c r="H434" s="13" t="n"/>
      <c r="I434" s="14" t="n"/>
    </row>
    <row r="435">
      <c r="A435" s="5" t="inlineStr">
        <is>
          <t>SR4-2030</t>
        </is>
      </c>
      <c r="B435" s="5" t="inlineStr">
        <is>
          <t>Simples na Reforma - 2030</t>
        </is>
      </c>
      <c r="C435" s="6" t="inlineStr">
        <is>
          <t>Comércio, 80% B2B, compras de fornecedores do regime regular; receita R$ 2.000.000,00</t>
        </is>
      </c>
      <c r="D435" s="5" t="inlineStr">
        <is>
          <t>Receita líquida — dentro do DAS</t>
        </is>
      </c>
      <c r="E435" s="7" t="n">
        <v>1801300</v>
      </c>
      <c r="F435" s="8" t="n"/>
      <c r="G435" s="7">
        <f>IF(F435="","",E435-F435)</f>
        <v/>
      </c>
      <c r="H435" s="5" t="n"/>
      <c r="I435" s="6" t="n"/>
    </row>
    <row r="436">
      <c r="A436" s="5" t="inlineStr">
        <is>
          <t>SR4-2030</t>
        </is>
      </c>
      <c r="B436" s="5" t="inlineStr">
        <is>
          <t>Simples na Reforma - 2030</t>
        </is>
      </c>
      <c r="C436" s="6" t="inlineStr">
        <is>
          <t>Comércio, 80% B2B, compras de fornecedores do regime regular; receita R$ 2.000.000,00</t>
        </is>
      </c>
      <c r="D436" s="5" t="inlineStr">
        <is>
          <t>Receita líquida — por fora</t>
        </is>
      </c>
      <c r="E436" s="7" t="n">
        <v>1920388.04</v>
      </c>
      <c r="F436" s="8" t="n"/>
      <c r="G436" s="7">
        <f>IF(F436="","",E436-F436)</f>
        <v/>
      </c>
      <c r="H436" s="5" t="n"/>
      <c r="I436" s="6" t="n"/>
    </row>
    <row r="437">
      <c r="A437" s="13" t="inlineStr">
        <is>
          <t>SR4-2031</t>
        </is>
      </c>
      <c r="B437" s="13" t="inlineStr">
        <is>
          <t>Simples na Reforma - 2031</t>
        </is>
      </c>
      <c r="C437" s="14" t="inlineStr">
        <is>
          <t>Comércio, 80% B2B, compras de fornecedores do regime regular; receita R$ 2.000.000,00</t>
        </is>
      </c>
      <c r="D437" s="13" t="inlineStr">
        <is>
          <t>Receita líquida — dentro do DAS</t>
        </is>
      </c>
      <c r="E437" s="15" t="n">
        <v>1801300</v>
      </c>
      <c r="F437" s="8" t="n"/>
      <c r="G437" s="15">
        <f>IF(F437="","",E437-F437)</f>
        <v/>
      </c>
      <c r="H437" s="13" t="n"/>
      <c r="I437" s="14" t="n"/>
    </row>
    <row r="438">
      <c r="A438" s="13" t="inlineStr">
        <is>
          <t>SR4-2031</t>
        </is>
      </c>
      <c r="B438" s="13" t="inlineStr">
        <is>
          <t>Simples na Reforma - 2031</t>
        </is>
      </c>
      <c r="C438" s="14" t="inlineStr">
        <is>
          <t>Comércio, 80% B2B, compras de fornecedores do regime regular; receita R$ 2.000.000,00</t>
        </is>
      </c>
      <c r="D438" s="13" t="inlineStr">
        <is>
          <t>Receita líquida — por fora</t>
        </is>
      </c>
      <c r="E438" s="15" t="n">
        <v>1937975.04</v>
      </c>
      <c r="F438" s="8" t="n"/>
      <c r="G438" s="15">
        <f>IF(F438="","",E438-F438)</f>
        <v/>
      </c>
      <c r="H438" s="13" t="n"/>
      <c r="I438" s="14" t="n"/>
    </row>
    <row r="439">
      <c r="A439" s="5" t="inlineStr">
        <is>
          <t>SR4-2032</t>
        </is>
      </c>
      <c r="B439" s="5" t="inlineStr">
        <is>
          <t>Simples na Reforma - 2032</t>
        </is>
      </c>
      <c r="C439" s="6" t="inlineStr">
        <is>
          <t>Comércio, 80% B2B, compras de fornecedores do regime regular; receita R$ 2.000.000,00</t>
        </is>
      </c>
      <c r="D439" s="5" t="inlineStr">
        <is>
          <t>Receita líquida — dentro do DAS</t>
        </is>
      </c>
      <c r="E439" s="7" t="n">
        <v>1801300</v>
      </c>
      <c r="F439" s="8" t="n"/>
      <c r="G439" s="7">
        <f>IF(F439="","",E439-F439)</f>
        <v/>
      </c>
      <c r="H439" s="5" t="n"/>
      <c r="I439" s="6" t="n"/>
    </row>
    <row r="440">
      <c r="A440" s="5" t="inlineStr">
        <is>
          <t>SR4-2032</t>
        </is>
      </c>
      <c r="B440" s="5" t="inlineStr">
        <is>
          <t>Simples na Reforma - 2032</t>
        </is>
      </c>
      <c r="C440" s="6" t="inlineStr">
        <is>
          <t>Comércio, 80% B2B, compras de fornecedores do regime regular; receita R$ 2.000.000,00</t>
        </is>
      </c>
      <c r="D440" s="5" t="inlineStr">
        <is>
          <t>Receita líquida — por fora</t>
        </is>
      </c>
      <c r="E440" s="7" t="n">
        <v>1955646.63</v>
      </c>
      <c r="F440" s="8" t="n"/>
      <c r="G440" s="7">
        <f>IF(F440="","",E440-F440)</f>
        <v/>
      </c>
      <c r="H440" s="5" t="n"/>
      <c r="I440" s="6" t="n"/>
    </row>
    <row r="441">
      <c r="A441" s="13" t="inlineStr">
        <is>
          <t>SR5-2029</t>
        </is>
      </c>
      <c r="B441" s="13" t="inlineStr">
        <is>
          <t>Simples na Reforma - 2029</t>
        </is>
      </c>
      <c r="C441" s="14" t="inlineStr">
        <is>
          <t>Serviços (Anexo III), 100% B2B, sem compras; receita R$ 600.000,00</t>
        </is>
      </c>
      <c r="D441" s="13" t="inlineStr">
        <is>
          <t>Receita líquida — dentro do DAS</t>
        </is>
      </c>
      <c r="E441" s="15" t="n">
        <v>536640</v>
      </c>
      <c r="F441" s="8" t="n"/>
      <c r="G441" s="15">
        <f>IF(F441="","",E441-F441)</f>
        <v/>
      </c>
      <c r="H441" s="13" t="n"/>
      <c r="I441" s="14" t="n"/>
    </row>
    <row r="442">
      <c r="A442" s="13" t="inlineStr">
        <is>
          <t>SR5-2029</t>
        </is>
      </c>
      <c r="B442" s="13" t="inlineStr">
        <is>
          <t>Simples na Reforma - 2029</t>
        </is>
      </c>
      <c r="C442" s="14" t="inlineStr">
        <is>
          <t>Serviços (Anexo III), 100% B2B, sem compras; receita R$ 600.000,00</t>
        </is>
      </c>
      <c r="D442" s="13" t="inlineStr">
        <is>
          <t>Receita líquida — por fora</t>
        </is>
      </c>
      <c r="E442" s="15" t="n">
        <v>537704.49</v>
      </c>
      <c r="F442" s="8" t="n"/>
      <c r="G442" s="15">
        <f>IF(F442="","",E442-F442)</f>
        <v/>
      </c>
      <c r="H442" s="13" t="n"/>
      <c r="I442" s="14" t="n"/>
    </row>
    <row r="443">
      <c r="A443" s="5" t="inlineStr">
        <is>
          <t>SR5-2031</t>
        </is>
      </c>
      <c r="B443" s="5" t="inlineStr">
        <is>
          <t>Simples na Reforma - 2031</t>
        </is>
      </c>
      <c r="C443" s="6" t="inlineStr">
        <is>
          <t>Serviços (Anexo III), 100% B2B, sem compras; receita R$ 600.000,00</t>
        </is>
      </c>
      <c r="D443" s="5" t="inlineStr">
        <is>
          <t>Receita líquida — dentro do DAS</t>
        </is>
      </c>
      <c r="E443" s="7" t="n">
        <v>536640</v>
      </c>
      <c r="F443" s="8" t="n"/>
      <c r="G443" s="7">
        <f>IF(F443="","",E443-F443)</f>
        <v/>
      </c>
      <c r="H443" s="5" t="n"/>
      <c r="I443" s="6" t="n"/>
    </row>
    <row r="444">
      <c r="A444" s="5" t="inlineStr">
        <is>
          <t>SR5-2031</t>
        </is>
      </c>
      <c r="B444" s="5" t="inlineStr">
        <is>
          <t>Simples na Reforma - 2031</t>
        </is>
      </c>
      <c r="C444" s="6" t="inlineStr">
        <is>
          <t>Serviços (Anexo III), 100% B2B, sem compras; receita R$ 600.000,00</t>
        </is>
      </c>
      <c r="D444" s="5" t="inlineStr">
        <is>
          <t>Receita líquida — por fora</t>
        </is>
      </c>
      <c r="E444" s="7" t="n">
        <v>537938.47</v>
      </c>
      <c r="F444" s="8" t="n"/>
      <c r="G444" s="7">
        <f>IF(F444="","",E444-F444)</f>
        <v/>
      </c>
      <c r="H444" s="5" t="n"/>
      <c r="I444" s="6" t="n"/>
    </row>
    <row r="445">
      <c r="A445" s="13" t="inlineStr">
        <is>
          <t>SR6-2028</t>
        </is>
      </c>
      <c r="B445" s="13" t="inlineStr">
        <is>
          <t>Simples na Reforma - 2028</t>
        </is>
      </c>
      <c r="C445" s="14" t="inlineStr">
        <is>
          <t>Serviços (Anexo III), 5ª faixa (o teto do ISS no DAS atua), 50% B2B; receita R$ 3.000.000,00</t>
        </is>
      </c>
      <c r="D445" s="13" t="inlineStr">
        <is>
          <t>Receita líquida — dentro do DAS</t>
        </is>
      </c>
      <c r="E445" s="15" t="n">
        <v>2495640</v>
      </c>
      <c r="F445" s="8" t="n"/>
      <c r="G445" s="15">
        <f>IF(F445="","",E445-F445)</f>
        <v/>
      </c>
      <c r="H445" s="13" t="n"/>
      <c r="I445" s="14" t="n"/>
    </row>
    <row r="446">
      <c r="A446" s="13" t="inlineStr">
        <is>
          <t>SR6-2028</t>
        </is>
      </c>
      <c r="B446" s="13" t="inlineStr">
        <is>
          <t>Simples na Reforma - 2028</t>
        </is>
      </c>
      <c r="C446" s="14" t="inlineStr">
        <is>
          <t>Serviços (Anexo III), 5ª faixa (o teto do ISS no DAS atua), 50% B2B; receita R$ 3.000.000,00</t>
        </is>
      </c>
      <c r="D446" s="13" t="inlineStr">
        <is>
          <t>Receita líquida — por fora</t>
        </is>
      </c>
      <c r="E446" s="15" t="n">
        <v>2438751.65</v>
      </c>
      <c r="F446" s="8" t="n"/>
      <c r="G446" s="15">
        <f>IF(F446="","",E446-F446)</f>
        <v/>
      </c>
      <c r="H446" s="13" t="n"/>
      <c r="I446" s="14" t="n"/>
    </row>
    <row r="447">
      <c r="A447" s="5" t="inlineStr">
        <is>
          <t>SR6-2029</t>
        </is>
      </c>
      <c r="B447" s="5" t="inlineStr">
        <is>
          <t>Simples na Reforma - 2029</t>
        </is>
      </c>
      <c r="C447" s="6" t="inlineStr">
        <is>
          <t>Serviços (Anexo III), 5ª faixa (o teto do ISS no DAS atua), 50% B2B; receita R$ 3.000.000,00</t>
        </is>
      </c>
      <c r="D447" s="5" t="inlineStr">
        <is>
          <t>Receita líquida — dentro do DAS</t>
        </is>
      </c>
      <c r="E447" s="7" t="n">
        <v>2495640</v>
      </c>
      <c r="F447" s="8" t="n"/>
      <c r="G447" s="7">
        <f>IF(F447="","",E447-F447)</f>
        <v/>
      </c>
      <c r="H447" s="5" t="n"/>
      <c r="I447" s="6" t="n"/>
    </row>
    <row r="448">
      <c r="A448" s="5" t="inlineStr">
        <is>
          <t>SR6-2029</t>
        </is>
      </c>
      <c r="B448" s="5" t="inlineStr">
        <is>
          <t>Simples na Reforma - 2029</t>
        </is>
      </c>
      <c r="C448" s="6" t="inlineStr">
        <is>
          <t>Serviços (Anexo III), 5ª faixa (o teto do ISS no DAS atua), 50% B2B; receita R$ 3.000.000,00</t>
        </is>
      </c>
      <c r="D448" s="5" t="inlineStr">
        <is>
          <t>Receita líquida — por fora</t>
        </is>
      </c>
      <c r="E448" s="7" t="n">
        <v>2428416.99</v>
      </c>
      <c r="F448" s="8" t="n"/>
      <c r="G448" s="7">
        <f>IF(F448="","",E448-F448)</f>
        <v/>
      </c>
      <c r="H448" s="5" t="n"/>
      <c r="I448" s="6" t="n"/>
    </row>
    <row r="449">
      <c r="A449" s="13" t="inlineStr">
        <is>
          <t>SR6-2032</t>
        </is>
      </c>
      <c r="B449" s="13" t="inlineStr">
        <is>
          <t>Simples na Reforma - 2032</t>
        </is>
      </c>
      <c r="C449" s="14" t="inlineStr">
        <is>
          <t>Serviços (Anexo III), 5ª faixa (o teto do ISS no DAS atua), 50% B2B; receita R$ 3.000.000,00</t>
        </is>
      </c>
      <c r="D449" s="13" t="inlineStr">
        <is>
          <t>Receita líquida — dentro do DAS</t>
        </is>
      </c>
      <c r="E449" s="15" t="n">
        <v>2495640</v>
      </c>
      <c r="F449" s="8" t="n"/>
      <c r="G449" s="15">
        <f>IF(F449="","",E449-F449)</f>
        <v/>
      </c>
      <c r="H449" s="13" t="n"/>
      <c r="I449" s="14" t="n"/>
    </row>
    <row r="450">
      <c r="A450" s="13" t="inlineStr">
        <is>
          <t>SR6-2032</t>
        </is>
      </c>
      <c r="B450" s="13" t="inlineStr">
        <is>
          <t>Simples na Reforma - 2032</t>
        </is>
      </c>
      <c r="C450" s="14" t="inlineStr">
        <is>
          <t>Serviços (Anexo III), 5ª faixa (o teto do ISS no DAS atua), 50% B2B; receita R$ 3.000.000,00</t>
        </is>
      </c>
      <c r="D450" s="13" t="inlineStr">
        <is>
          <t>Receita líquida — por fora</t>
        </is>
      </c>
      <c r="E450" s="15" t="n">
        <v>2398405.14</v>
      </c>
      <c r="F450" s="8" t="n"/>
      <c r="G450" s="15">
        <f>IF(F450="","",E450-F450)</f>
        <v/>
      </c>
      <c r="H450" s="13" t="n"/>
      <c r="I450" s="14" t="n"/>
    </row>
    <row r="451">
      <c r="A451" s="5" t="inlineStr">
        <is>
          <t>AU1-PF</t>
        </is>
      </c>
      <c r="B451" s="5" t="inlineStr">
        <is>
          <t>Autônomo × CNPJ — Autônomo (pessoa física) (mensal)</t>
        </is>
      </c>
      <c r="C451" s="6" t="inlineStr">
        <is>
          <t>Receita R$ 6.000/mês, pode ser MEI</t>
        </is>
      </c>
      <c r="D451" s="5" t="inlineStr">
        <is>
          <t>INSS (20%)</t>
        </is>
      </c>
      <c r="E451" s="7" t="n">
        <v>1200</v>
      </c>
      <c r="F451" s="8" t="n"/>
      <c r="G451" s="7">
        <f>IF(F451="","",E451-F451)</f>
        <v/>
      </c>
      <c r="H451" s="5" t="n"/>
      <c r="I451" s="6" t="n"/>
    </row>
    <row r="452">
      <c r="A452" s="5" t="inlineStr">
        <is>
          <t>AU1-PF</t>
        </is>
      </c>
      <c r="B452" s="5" t="inlineStr">
        <is>
          <t>Autônomo × CNPJ — Autônomo (pessoa física) (mensal)</t>
        </is>
      </c>
      <c r="C452" s="6" t="inlineStr">
        <is>
          <t>Receita R$ 6.000/mês, pode ser MEI</t>
        </is>
      </c>
      <c r="D452" s="5" t="inlineStr">
        <is>
          <t>IRPF (carnê-leão)</t>
        </is>
      </c>
      <c r="E452" s="7" t="n">
        <v>231.52</v>
      </c>
      <c r="F452" s="8" t="n"/>
      <c r="G452" s="7">
        <f>IF(F452="","",E452-F452)</f>
        <v/>
      </c>
      <c r="H452" s="5" t="n"/>
      <c r="I452" s="6" t="n"/>
    </row>
    <row r="453">
      <c r="A453" s="9" t="inlineStr">
        <is>
          <t>AU1-PF</t>
        </is>
      </c>
      <c r="B453" s="9" t="inlineStr">
        <is>
          <t>Autônomo × CNPJ — Autônomo (pessoa física) (mensal)</t>
        </is>
      </c>
      <c r="C453" s="10" t="inlineStr">
        <is>
          <t>Receita R$ 6.000/mês, pode ser MEI</t>
        </is>
      </c>
      <c r="D453" s="9" t="inlineStr">
        <is>
          <t>TOTAL</t>
        </is>
      </c>
      <c r="E453" s="11">
        <f>SUM(E451:E452)</f>
        <v/>
      </c>
      <c r="F453" s="12" t="n"/>
      <c r="G453" s="11">
        <f>IF(F453="","",E453-F453)</f>
        <v/>
      </c>
      <c r="H453" s="9" t="n"/>
      <c r="I453" s="10" t="n"/>
    </row>
    <row r="454">
      <c r="A454" s="13" t="inlineStr">
        <is>
          <t>AU1-MEI</t>
        </is>
      </c>
      <c r="B454" s="13" t="inlineStr">
        <is>
          <t>Autônomo × CNPJ — MEI (mensal)</t>
        </is>
      </c>
      <c r="C454" s="14" t="inlineStr">
        <is>
          <t>Receita R$ 6.000/mês, pode ser MEI</t>
        </is>
      </c>
      <c r="D454" s="13" t="inlineStr">
        <is>
          <t>DAS-MEI (INSS)</t>
        </is>
      </c>
      <c r="E454" s="15" t="n">
        <v>81.05</v>
      </c>
      <c r="F454" s="8" t="n"/>
      <c r="G454" s="15">
        <f>IF(F454="","",E454-F454)</f>
        <v/>
      </c>
      <c r="H454" s="13" t="n"/>
      <c r="I454" s="14" t="n"/>
    </row>
    <row r="455">
      <c r="A455" s="13" t="inlineStr">
        <is>
          <t>AU1-MEI</t>
        </is>
      </c>
      <c r="B455" s="13" t="inlineStr">
        <is>
          <t>Autônomo × CNPJ — MEI (mensal)</t>
        </is>
      </c>
      <c r="C455" s="14" t="inlineStr">
        <is>
          <t>Receita R$ 6.000/mês, pode ser MEI</t>
        </is>
      </c>
      <c r="D455" s="13" t="inlineStr">
        <is>
          <t>DAS-MEI (ISS)</t>
        </is>
      </c>
      <c r="E455" s="15" t="n">
        <v>5</v>
      </c>
      <c r="F455" s="8" t="n"/>
      <c r="G455" s="15">
        <f>IF(F455="","",E455-F455)</f>
        <v/>
      </c>
      <c r="H455" s="13" t="n"/>
      <c r="I455" s="14" t="n"/>
    </row>
    <row r="456">
      <c r="A456" s="16" t="inlineStr">
        <is>
          <t>AU1-MEI</t>
        </is>
      </c>
      <c r="B456" s="16" t="inlineStr">
        <is>
          <t>Autônomo × CNPJ — MEI (mensal)</t>
        </is>
      </c>
      <c r="C456" s="17" t="inlineStr">
        <is>
          <t>Receita R$ 6.000/mês, pode ser MEI</t>
        </is>
      </c>
      <c r="D456" s="16" t="inlineStr">
        <is>
          <t>TOTAL</t>
        </is>
      </c>
      <c r="E456" s="18">
        <f>SUM(E454:E455)</f>
        <v/>
      </c>
      <c r="F456" s="12" t="n"/>
      <c r="G456" s="18">
        <f>IF(F456="","",E456-F456)</f>
        <v/>
      </c>
      <c r="H456" s="16" t="n"/>
      <c r="I456" s="17" t="n"/>
    </row>
    <row r="457">
      <c r="A457" s="5" t="inlineStr">
        <is>
          <t>AU1-SN</t>
        </is>
      </c>
      <c r="B457" s="5" t="inlineStr">
        <is>
          <t>Autônomo × CNPJ — Simples Nacional (mensal)</t>
        </is>
      </c>
      <c r="C457" s="6" t="inlineStr">
        <is>
          <t>Receita R$ 6.000/mês, pode ser MEI</t>
        </is>
      </c>
      <c r="D457" s="5" t="inlineStr">
        <is>
          <t>DAS</t>
        </is>
      </c>
      <c r="E457" s="7" t="n">
        <v>360</v>
      </c>
      <c r="F457" s="8" t="n"/>
      <c r="G457" s="7">
        <f>IF(F457="","",E457-F457)</f>
        <v/>
      </c>
      <c r="H457" s="5" t="n"/>
      <c r="I457" s="6" t="n"/>
    </row>
    <row r="458">
      <c r="A458" s="5" t="inlineStr">
        <is>
          <t>AU1-SN</t>
        </is>
      </c>
      <c r="B458" s="5" t="inlineStr">
        <is>
          <t>Autônomo × CNPJ — Simples Nacional (mensal)</t>
        </is>
      </c>
      <c r="C458" s="6" t="inlineStr">
        <is>
          <t>Receita R$ 6.000/mês, pode ser MEI</t>
        </is>
      </c>
      <c r="D458" s="5" t="inlineStr">
        <is>
          <t>INSS sobre pró-labore (11%)</t>
        </is>
      </c>
      <c r="E458" s="7" t="n">
        <v>184.8</v>
      </c>
      <c r="F458" s="8" t="n"/>
      <c r="G458" s="7">
        <f>IF(F458="","",E458-F458)</f>
        <v/>
      </c>
      <c r="H458" s="5" t="n"/>
      <c r="I458" s="6" t="n"/>
    </row>
    <row r="459">
      <c r="A459" s="5" t="inlineStr">
        <is>
          <t>AU1-SN</t>
        </is>
      </c>
      <c r="B459" s="5" t="inlineStr">
        <is>
          <t>Autônomo × CNPJ — Simples Nacional (mensal)</t>
        </is>
      </c>
      <c r="C459" s="6" t="inlineStr">
        <is>
          <t>Receita R$ 6.000/mês, pode ser MEI</t>
        </is>
      </c>
      <c r="D459" s="5" t="inlineStr">
        <is>
          <t>IRPF sobre pró-labore</t>
        </is>
      </c>
      <c r="E459" s="7" t="n">
        <v>0</v>
      </c>
      <c r="F459" s="8" t="n"/>
      <c r="G459" s="7">
        <f>IF(F459="","",E459-F459)</f>
        <v/>
      </c>
      <c r="H459" s="5" t="n"/>
      <c r="I459" s="6" t="n"/>
    </row>
    <row r="460">
      <c r="A460" s="9" t="inlineStr">
        <is>
          <t>AU1-SN</t>
        </is>
      </c>
      <c r="B460" s="9" t="inlineStr">
        <is>
          <t>Autônomo × CNPJ — Simples Nacional (mensal)</t>
        </is>
      </c>
      <c r="C460" s="10" t="inlineStr">
        <is>
          <t>Receita R$ 6.000/mês, pode ser MEI</t>
        </is>
      </c>
      <c r="D460" s="9" t="inlineStr">
        <is>
          <t>TOTAL</t>
        </is>
      </c>
      <c r="E460" s="11">
        <f>SUM(E457:E459)</f>
        <v/>
      </c>
      <c r="F460" s="12" t="n"/>
      <c r="G460" s="11">
        <f>IF(F460="","",E460-F460)</f>
        <v/>
      </c>
      <c r="H460" s="9" t="n"/>
      <c r="I460" s="10" t="n"/>
    </row>
    <row r="461">
      <c r="A461" s="13" t="inlineStr">
        <is>
          <t>AU1-LP</t>
        </is>
      </c>
      <c r="B461" s="13" t="inlineStr">
        <is>
          <t>Autônomo × CNPJ — Lucro Presumido (mensal)</t>
        </is>
      </c>
      <c r="C461" s="14" t="inlineStr">
        <is>
          <t>Receita R$ 6.000/mês, pode ser MEI</t>
        </is>
      </c>
      <c r="D461" s="13" t="inlineStr">
        <is>
          <t>IRPJ</t>
        </is>
      </c>
      <c r="E461" s="15" t="n">
        <v>288</v>
      </c>
      <c r="F461" s="8" t="n"/>
      <c r="G461" s="15">
        <f>IF(F461="","",E461-F461)</f>
        <v/>
      </c>
      <c r="H461" s="13" t="n"/>
      <c r="I461" s="14" t="n"/>
    </row>
    <row r="462">
      <c r="A462" s="13" t="inlineStr">
        <is>
          <t>AU1-LP</t>
        </is>
      </c>
      <c r="B462" s="13" t="inlineStr">
        <is>
          <t>Autônomo × CNPJ — Lucro Presumido (mensal)</t>
        </is>
      </c>
      <c r="C462" s="14" t="inlineStr">
        <is>
          <t>Receita R$ 6.000/mês, pode ser MEI</t>
        </is>
      </c>
      <c r="D462" s="13" t="inlineStr">
        <is>
          <t>CSLL</t>
        </is>
      </c>
      <c r="E462" s="15" t="n">
        <v>172.8</v>
      </c>
      <c r="F462" s="8" t="n"/>
      <c r="G462" s="15">
        <f>IF(F462="","",E462-F462)</f>
        <v/>
      </c>
      <c r="H462" s="13" t="n"/>
      <c r="I462" s="14" t="n"/>
    </row>
    <row r="463">
      <c r="A463" s="13" t="inlineStr">
        <is>
          <t>AU1-LP</t>
        </is>
      </c>
      <c r="B463" s="13" t="inlineStr">
        <is>
          <t>Autônomo × CNPJ — Lucro Presumido (mensal)</t>
        </is>
      </c>
      <c r="C463" s="14" t="inlineStr">
        <is>
          <t>Receita R$ 6.000/mês, pode ser MEI</t>
        </is>
      </c>
      <c r="D463" s="13" t="inlineStr">
        <is>
          <t>PIS</t>
        </is>
      </c>
      <c r="E463" s="15" t="n">
        <v>39</v>
      </c>
      <c r="F463" s="8" t="n"/>
      <c r="G463" s="15">
        <f>IF(F463="","",E463-F463)</f>
        <v/>
      </c>
      <c r="H463" s="13" t="n"/>
      <c r="I463" s="14" t="n"/>
    </row>
    <row r="464">
      <c r="A464" s="13" t="inlineStr">
        <is>
          <t>AU1-LP</t>
        </is>
      </c>
      <c r="B464" s="13" t="inlineStr">
        <is>
          <t>Autônomo × CNPJ — Lucro Presumido (mensal)</t>
        </is>
      </c>
      <c r="C464" s="14" t="inlineStr">
        <is>
          <t>Receita R$ 6.000/mês, pode ser MEI</t>
        </is>
      </c>
      <c r="D464" s="13" t="inlineStr">
        <is>
          <t>Cofins</t>
        </is>
      </c>
      <c r="E464" s="15" t="n">
        <v>180</v>
      </c>
      <c r="F464" s="8" t="n"/>
      <c r="G464" s="15">
        <f>IF(F464="","",E464-F464)</f>
        <v/>
      </c>
      <c r="H464" s="13" t="n"/>
      <c r="I464" s="14" t="n"/>
    </row>
    <row r="465">
      <c r="A465" s="13" t="inlineStr">
        <is>
          <t>AU1-LP</t>
        </is>
      </c>
      <c r="B465" s="13" t="inlineStr">
        <is>
          <t>Autônomo × CNPJ — Lucro Presumido (mensal)</t>
        </is>
      </c>
      <c r="C465" s="14" t="inlineStr">
        <is>
          <t>Receita R$ 6.000/mês, pode ser MEI</t>
        </is>
      </c>
      <c r="D465" s="13" t="inlineStr">
        <is>
          <t>ISS</t>
        </is>
      </c>
      <c r="E465" s="15" t="n">
        <v>300</v>
      </c>
      <c r="F465" s="8" t="n"/>
      <c r="G465" s="15">
        <f>IF(F465="","",E465-F465)</f>
        <v/>
      </c>
      <c r="H465" s="13" t="n"/>
      <c r="I465" s="14" t="n"/>
    </row>
    <row r="466">
      <c r="A466" s="13" t="inlineStr">
        <is>
          <t>AU1-LP</t>
        </is>
      </c>
      <c r="B466" s="13" t="inlineStr">
        <is>
          <t>Autônomo × CNPJ — Lucro Presumido (mensal)</t>
        </is>
      </c>
      <c r="C466" s="14" t="inlineStr">
        <is>
          <t>Receita R$ 6.000/mês, pode ser MEI</t>
        </is>
      </c>
      <c r="D466" s="13" t="inlineStr">
        <is>
          <t>INSS patronal</t>
        </is>
      </c>
      <c r="E466" s="15" t="n">
        <v>324.2</v>
      </c>
      <c r="F466" s="8" t="n"/>
      <c r="G466" s="15">
        <f>IF(F466="","",E466-F466)</f>
        <v/>
      </c>
      <c r="H466" s="13" t="n"/>
      <c r="I466" s="14" t="n"/>
    </row>
    <row r="467">
      <c r="A467" s="13" t="inlineStr">
        <is>
          <t>AU1-LP</t>
        </is>
      </c>
      <c r="B467" s="13" t="inlineStr">
        <is>
          <t>Autônomo × CNPJ — Lucro Presumido (mensal)</t>
        </is>
      </c>
      <c r="C467" s="14" t="inlineStr">
        <is>
          <t>Receita R$ 6.000/mês, pode ser MEI</t>
        </is>
      </c>
      <c r="D467" s="13" t="inlineStr">
        <is>
          <t>INSS sobre pró-labore (11%)</t>
        </is>
      </c>
      <c r="E467" s="15" t="n">
        <v>178.31</v>
      </c>
      <c r="F467" s="8" t="n"/>
      <c r="G467" s="15">
        <f>IF(F467="","",E467-F467)</f>
        <v/>
      </c>
      <c r="H467" s="13" t="n"/>
      <c r="I467" s="14" t="n"/>
    </row>
    <row r="468">
      <c r="A468" s="13" t="inlineStr">
        <is>
          <t>AU1-LP</t>
        </is>
      </c>
      <c r="B468" s="13" t="inlineStr">
        <is>
          <t>Autônomo × CNPJ — Lucro Presumido (mensal)</t>
        </is>
      </c>
      <c r="C468" s="14" t="inlineStr">
        <is>
          <t>Receita R$ 6.000/mês, pode ser MEI</t>
        </is>
      </c>
      <c r="D468" s="13" t="inlineStr">
        <is>
          <t>IRPF sobre pró-labore</t>
        </is>
      </c>
      <c r="E468" s="15" t="n">
        <v>0</v>
      </c>
      <c r="F468" s="8" t="n"/>
      <c r="G468" s="15">
        <f>IF(F468="","",E468-F468)</f>
        <v/>
      </c>
      <c r="H468" s="13" t="n"/>
      <c r="I468" s="14" t="n"/>
    </row>
    <row r="469">
      <c r="A469" s="16" t="inlineStr">
        <is>
          <t>AU1-LP</t>
        </is>
      </c>
      <c r="B469" s="16" t="inlineStr">
        <is>
          <t>Autônomo × CNPJ — Lucro Presumido (mensal)</t>
        </is>
      </c>
      <c r="C469" s="17" t="inlineStr">
        <is>
          <t>Receita R$ 6.000/mês, pode ser MEI</t>
        </is>
      </c>
      <c r="D469" s="16" t="inlineStr">
        <is>
          <t>TOTAL</t>
        </is>
      </c>
      <c r="E469" s="18">
        <f>SUM(E461:E468)</f>
        <v/>
      </c>
      <c r="F469" s="12" t="n"/>
      <c r="G469" s="18">
        <f>IF(F469="","",E469-F469)</f>
        <v/>
      </c>
      <c r="H469" s="16" t="n"/>
      <c r="I469" s="17" t="n"/>
    </row>
    <row r="470">
      <c r="A470" s="5" t="inlineStr">
        <is>
          <t>AU2-PF</t>
        </is>
      </c>
      <c r="B470" s="5" t="inlineStr">
        <is>
          <t>Autônomo × CNPJ — Autônomo (pessoa física) (mensal)</t>
        </is>
      </c>
      <c r="C470" s="6" t="inlineStr">
        <is>
          <t>Receita R$ 15.000/mês, despesas R$ 1.000</t>
        </is>
      </c>
      <c r="D470" s="5" t="inlineStr">
        <is>
          <t>INSS (20%)</t>
        </is>
      </c>
      <c r="E470" s="7" t="n">
        <v>1695.11</v>
      </c>
      <c r="F470" s="8" t="n"/>
      <c r="G470" s="7">
        <f>IF(F470="","",E470-F470)</f>
        <v/>
      </c>
      <c r="H470" s="5" t="n"/>
      <c r="I470" s="6" t="n"/>
    </row>
    <row r="471">
      <c r="A471" s="5" t="inlineStr">
        <is>
          <t>AU2-PF</t>
        </is>
      </c>
      <c r="B471" s="5" t="inlineStr">
        <is>
          <t>Autônomo × CNPJ — Autônomo (pessoa física) (mensal)</t>
        </is>
      </c>
      <c r="C471" s="6" t="inlineStr">
        <is>
          <t>Receita R$ 15.000/mês, despesas R$ 1.000</t>
        </is>
      </c>
      <c r="D471" s="5" t="inlineStr">
        <is>
          <t>IRPF (carnê-leão)</t>
        </is>
      </c>
      <c r="E471" s="7" t="n">
        <v>2475.11</v>
      </c>
      <c r="F471" s="8" t="n"/>
      <c r="G471" s="7">
        <f>IF(F471="","",E471-F471)</f>
        <v/>
      </c>
      <c r="H471" s="5" t="n"/>
      <c r="I471" s="6" t="n"/>
    </row>
    <row r="472">
      <c r="A472" s="9" t="inlineStr">
        <is>
          <t>AU2-PF</t>
        </is>
      </c>
      <c r="B472" s="9" t="inlineStr">
        <is>
          <t>Autônomo × CNPJ — Autônomo (pessoa física) (mensal)</t>
        </is>
      </c>
      <c r="C472" s="10" t="inlineStr">
        <is>
          <t>Receita R$ 15.000/mês, despesas R$ 1.000</t>
        </is>
      </c>
      <c r="D472" s="9" t="inlineStr">
        <is>
          <t>TOTAL</t>
        </is>
      </c>
      <c r="E472" s="11">
        <f>SUM(E470:E471)</f>
        <v/>
      </c>
      <c r="F472" s="12" t="n"/>
      <c r="G472" s="11">
        <f>IF(F472="","",E472-F472)</f>
        <v/>
      </c>
      <c r="H472" s="9" t="n"/>
      <c r="I472" s="10" t="n"/>
    </row>
    <row r="473">
      <c r="A473" s="13" t="inlineStr">
        <is>
          <t>AU2-SN</t>
        </is>
      </c>
      <c r="B473" s="13" t="inlineStr">
        <is>
          <t>Autônomo × CNPJ — Simples Nacional (mensal)</t>
        </is>
      </c>
      <c r="C473" s="14" t="inlineStr">
        <is>
          <t>Receita R$ 15.000/mês, despesas R$ 1.000</t>
        </is>
      </c>
      <c r="D473" s="13" t="inlineStr">
        <is>
          <t>DAS</t>
        </is>
      </c>
      <c r="E473" s="15" t="n">
        <v>900</v>
      </c>
      <c r="F473" s="8" t="n"/>
      <c r="G473" s="15">
        <f>IF(F473="","",E473-F473)</f>
        <v/>
      </c>
      <c r="H473" s="13" t="n"/>
      <c r="I473" s="14" t="n"/>
    </row>
    <row r="474">
      <c r="A474" s="13" t="inlineStr">
        <is>
          <t>AU2-SN</t>
        </is>
      </c>
      <c r="B474" s="13" t="inlineStr">
        <is>
          <t>Autônomo × CNPJ — Simples Nacional (mensal)</t>
        </is>
      </c>
      <c r="C474" s="14" t="inlineStr">
        <is>
          <t>Receita R$ 15.000/mês, despesas R$ 1.000</t>
        </is>
      </c>
      <c r="D474" s="13" t="inlineStr">
        <is>
          <t>INSS sobre pró-labore (11%)</t>
        </is>
      </c>
      <c r="E474" s="15" t="n">
        <v>462</v>
      </c>
      <c r="F474" s="8" t="n"/>
      <c r="G474" s="15">
        <f>IF(F474="","",E474-F474)</f>
        <v/>
      </c>
      <c r="H474" s="13" t="n"/>
      <c r="I474" s="14" t="n"/>
    </row>
    <row r="475">
      <c r="A475" s="13" t="inlineStr">
        <is>
          <t>AU2-SN</t>
        </is>
      </c>
      <c r="B475" s="13" t="inlineStr">
        <is>
          <t>Autônomo × CNPJ — Simples Nacional (mensal)</t>
        </is>
      </c>
      <c r="C475" s="14" t="inlineStr">
        <is>
          <t>Receita R$ 15.000/mês, despesas R$ 1.000</t>
        </is>
      </c>
      <c r="D475" s="13" t="inlineStr">
        <is>
          <t>IRPF sobre pró-labore</t>
        </is>
      </c>
      <c r="E475" s="15" t="n">
        <v>0</v>
      </c>
      <c r="F475" s="8" t="n"/>
      <c r="G475" s="15">
        <f>IF(F475="","",E475-F475)</f>
        <v/>
      </c>
      <c r="H475" s="13" t="n"/>
      <c r="I475" s="14" t="n"/>
    </row>
    <row r="476">
      <c r="A476" s="16" t="inlineStr">
        <is>
          <t>AU2-SN</t>
        </is>
      </c>
      <c r="B476" s="16" t="inlineStr">
        <is>
          <t>Autônomo × CNPJ — Simples Nacional (mensal)</t>
        </is>
      </c>
      <c r="C476" s="17" t="inlineStr">
        <is>
          <t>Receita R$ 15.000/mês, despesas R$ 1.000</t>
        </is>
      </c>
      <c r="D476" s="16" t="inlineStr">
        <is>
          <t>TOTAL</t>
        </is>
      </c>
      <c r="E476" s="18">
        <f>SUM(E473:E475)</f>
        <v/>
      </c>
      <c r="F476" s="12" t="n"/>
      <c r="G476" s="18">
        <f>IF(F476="","",E476-F476)</f>
        <v/>
      </c>
      <c r="H476" s="16" t="n"/>
      <c r="I476" s="17" t="n"/>
    </row>
    <row r="477">
      <c r="A477" s="5" t="inlineStr">
        <is>
          <t>AU2-LP</t>
        </is>
      </c>
      <c r="B477" s="5" t="inlineStr">
        <is>
          <t>Autônomo × CNPJ — Lucro Presumido (mensal)</t>
        </is>
      </c>
      <c r="C477" s="6" t="inlineStr">
        <is>
          <t>Receita R$ 15.000/mês, despesas R$ 1.000</t>
        </is>
      </c>
      <c r="D477" s="5" t="inlineStr">
        <is>
          <t>IRPJ</t>
        </is>
      </c>
      <c r="E477" s="7" t="n">
        <v>720</v>
      </c>
      <c r="F477" s="8" t="n"/>
      <c r="G477" s="7">
        <f>IF(F477="","",E477-F477)</f>
        <v/>
      </c>
      <c r="H477" s="5" t="n"/>
      <c r="I477" s="6" t="n"/>
    </row>
    <row r="478">
      <c r="A478" s="5" t="inlineStr">
        <is>
          <t>AU2-LP</t>
        </is>
      </c>
      <c r="B478" s="5" t="inlineStr">
        <is>
          <t>Autônomo × CNPJ — Lucro Presumido (mensal)</t>
        </is>
      </c>
      <c r="C478" s="6" t="inlineStr">
        <is>
          <t>Receita R$ 15.000/mês, despesas R$ 1.000</t>
        </is>
      </c>
      <c r="D478" s="5" t="inlineStr">
        <is>
          <t>CSLL</t>
        </is>
      </c>
      <c r="E478" s="7" t="n">
        <v>432</v>
      </c>
      <c r="F478" s="8" t="n"/>
      <c r="G478" s="7">
        <f>IF(F478="","",E478-F478)</f>
        <v/>
      </c>
      <c r="H478" s="5" t="n"/>
      <c r="I478" s="6" t="n"/>
    </row>
    <row r="479">
      <c r="A479" s="5" t="inlineStr">
        <is>
          <t>AU2-LP</t>
        </is>
      </c>
      <c r="B479" s="5" t="inlineStr">
        <is>
          <t>Autônomo × CNPJ — Lucro Presumido (mensal)</t>
        </is>
      </c>
      <c r="C479" s="6" t="inlineStr">
        <is>
          <t>Receita R$ 15.000/mês, despesas R$ 1.000</t>
        </is>
      </c>
      <c r="D479" s="5" t="inlineStr">
        <is>
          <t>PIS</t>
        </is>
      </c>
      <c r="E479" s="7" t="n">
        <v>97.5</v>
      </c>
      <c r="F479" s="8" t="n"/>
      <c r="G479" s="7">
        <f>IF(F479="","",E479-F479)</f>
        <v/>
      </c>
      <c r="H479" s="5" t="n"/>
      <c r="I479" s="6" t="n"/>
    </row>
    <row r="480">
      <c r="A480" s="5" t="inlineStr">
        <is>
          <t>AU2-LP</t>
        </is>
      </c>
      <c r="B480" s="5" t="inlineStr">
        <is>
          <t>Autônomo × CNPJ — Lucro Presumido (mensal)</t>
        </is>
      </c>
      <c r="C480" s="6" t="inlineStr">
        <is>
          <t>Receita R$ 15.000/mês, despesas R$ 1.000</t>
        </is>
      </c>
      <c r="D480" s="5" t="inlineStr">
        <is>
          <t>Cofins</t>
        </is>
      </c>
      <c r="E480" s="7" t="n">
        <v>450</v>
      </c>
      <c r="F480" s="8" t="n"/>
      <c r="G480" s="7">
        <f>IF(F480="","",E480-F480)</f>
        <v/>
      </c>
      <c r="H480" s="5" t="n"/>
      <c r="I480" s="6" t="n"/>
    </row>
    <row r="481">
      <c r="A481" s="5" t="inlineStr">
        <is>
          <t>AU2-LP</t>
        </is>
      </c>
      <c r="B481" s="5" t="inlineStr">
        <is>
          <t>Autônomo × CNPJ — Lucro Presumido (mensal)</t>
        </is>
      </c>
      <c r="C481" s="6" t="inlineStr">
        <is>
          <t>Receita R$ 15.000/mês, despesas R$ 1.000</t>
        </is>
      </c>
      <c r="D481" s="5" t="inlineStr">
        <is>
          <t>ISS</t>
        </is>
      </c>
      <c r="E481" s="7" t="n">
        <v>750</v>
      </c>
      <c r="F481" s="8" t="n"/>
      <c r="G481" s="7">
        <f>IF(F481="","",E481-F481)</f>
        <v/>
      </c>
      <c r="H481" s="5" t="n"/>
      <c r="I481" s="6" t="n"/>
    </row>
    <row r="482">
      <c r="A482" s="5" t="inlineStr">
        <is>
          <t>AU2-LP</t>
        </is>
      </c>
      <c r="B482" s="5" t="inlineStr">
        <is>
          <t>Autônomo × CNPJ — Lucro Presumido (mensal)</t>
        </is>
      </c>
      <c r="C482" s="6" t="inlineStr">
        <is>
          <t>Receita R$ 15.000/mês, despesas R$ 1.000</t>
        </is>
      </c>
      <c r="D482" s="5" t="inlineStr">
        <is>
          <t>INSS patronal</t>
        </is>
      </c>
      <c r="E482" s="7" t="n">
        <v>324.2</v>
      </c>
      <c r="F482" s="8" t="n"/>
      <c r="G482" s="7">
        <f>IF(F482="","",E482-F482)</f>
        <v/>
      </c>
      <c r="H482" s="5" t="n"/>
      <c r="I482" s="6" t="n"/>
    </row>
    <row r="483">
      <c r="A483" s="5" t="inlineStr">
        <is>
          <t>AU2-LP</t>
        </is>
      </c>
      <c r="B483" s="5" t="inlineStr">
        <is>
          <t>Autônomo × CNPJ — Lucro Presumido (mensal)</t>
        </is>
      </c>
      <c r="C483" s="6" t="inlineStr">
        <is>
          <t>Receita R$ 15.000/mês, despesas R$ 1.000</t>
        </is>
      </c>
      <c r="D483" s="5" t="inlineStr">
        <is>
          <t>INSS sobre pró-labore (11%)</t>
        </is>
      </c>
      <c r="E483" s="7" t="n">
        <v>178.31</v>
      </c>
      <c r="F483" s="8" t="n"/>
      <c r="G483" s="7">
        <f>IF(F483="","",E483-F483)</f>
        <v/>
      </c>
      <c r="H483" s="5" t="n"/>
      <c r="I483" s="6" t="n"/>
    </row>
    <row r="484">
      <c r="A484" s="5" t="inlineStr">
        <is>
          <t>AU2-LP</t>
        </is>
      </c>
      <c r="B484" s="5" t="inlineStr">
        <is>
          <t>Autônomo × CNPJ — Lucro Presumido (mensal)</t>
        </is>
      </c>
      <c r="C484" s="6" t="inlineStr">
        <is>
          <t>Receita R$ 15.000/mês, despesas R$ 1.000</t>
        </is>
      </c>
      <c r="D484" s="5" t="inlineStr">
        <is>
          <t>IRPF sobre pró-labore</t>
        </is>
      </c>
      <c r="E484" s="7" t="n">
        <v>0</v>
      </c>
      <c r="F484" s="8" t="n"/>
      <c r="G484" s="7">
        <f>IF(F484="","",E484-F484)</f>
        <v/>
      </c>
      <c r="H484" s="5" t="n"/>
      <c r="I484" s="6" t="n"/>
    </row>
    <row r="485">
      <c r="A485" s="9" t="inlineStr">
        <is>
          <t>AU2-LP</t>
        </is>
      </c>
      <c r="B485" s="9" t="inlineStr">
        <is>
          <t>Autônomo × CNPJ — Lucro Presumido (mensal)</t>
        </is>
      </c>
      <c r="C485" s="10" t="inlineStr">
        <is>
          <t>Receita R$ 15.000/mês, despesas R$ 1.000</t>
        </is>
      </c>
      <c r="D485" s="9" t="inlineStr">
        <is>
          <t>TOTAL</t>
        </is>
      </c>
      <c r="E485" s="11">
        <f>SUM(E477:E484)</f>
        <v/>
      </c>
      <c r="F485" s="12" t="n"/>
      <c r="G485" s="11">
        <f>IF(F485="","",E485-F485)</f>
        <v/>
      </c>
      <c r="H485" s="9" t="n"/>
      <c r="I485" s="10" t="n"/>
    </row>
    <row r="486">
      <c r="A486" s="13" t="inlineStr">
        <is>
          <t>AU3-PF</t>
        </is>
      </c>
      <c r="B486" s="13" t="inlineStr">
        <is>
          <t>Autônomo × CNPJ — Autônomo (pessoa física) (mensal)</t>
        </is>
      </c>
      <c r="C486" s="14" t="inlineStr">
        <is>
          <t>Receita R$ 40.000/mês, 1 dependente</t>
        </is>
      </c>
      <c r="D486" s="13" t="inlineStr">
        <is>
          <t>INSS (20%)</t>
        </is>
      </c>
      <c r="E486" s="15" t="n">
        <v>1695.11</v>
      </c>
      <c r="F486" s="8" t="n"/>
      <c r="G486" s="15">
        <f>IF(F486="","",E486-F486)</f>
        <v/>
      </c>
      <c r="H486" s="13" t="n"/>
      <c r="I486" s="14" t="n"/>
    </row>
    <row r="487">
      <c r="A487" s="13" t="inlineStr">
        <is>
          <t>AU3-PF</t>
        </is>
      </c>
      <c r="B487" s="13" t="inlineStr">
        <is>
          <t>Autônomo × CNPJ — Autônomo (pessoa física) (mensal)</t>
        </is>
      </c>
      <c r="C487" s="14" t="inlineStr">
        <is>
          <t>Receita R$ 40.000/mês, 1 dependente</t>
        </is>
      </c>
      <c r="D487" s="13" t="inlineStr">
        <is>
          <t>IRPF (carnê-leão)</t>
        </is>
      </c>
      <c r="E487" s="15" t="n">
        <v>9572.98</v>
      </c>
      <c r="F487" s="8" t="n"/>
      <c r="G487" s="15">
        <f>IF(F487="","",E487-F487)</f>
        <v/>
      </c>
      <c r="H487" s="13" t="n"/>
      <c r="I487" s="14" t="n"/>
    </row>
    <row r="488">
      <c r="A488" s="16" t="inlineStr">
        <is>
          <t>AU3-PF</t>
        </is>
      </c>
      <c r="B488" s="16" t="inlineStr">
        <is>
          <t>Autônomo × CNPJ — Autônomo (pessoa física) (mensal)</t>
        </is>
      </c>
      <c r="C488" s="17" t="inlineStr">
        <is>
          <t>Receita R$ 40.000/mês, 1 dependente</t>
        </is>
      </c>
      <c r="D488" s="16" t="inlineStr">
        <is>
          <t>TOTAL</t>
        </is>
      </c>
      <c r="E488" s="18">
        <f>SUM(E486:E487)</f>
        <v/>
      </c>
      <c r="F488" s="12" t="n"/>
      <c r="G488" s="18">
        <f>IF(F488="","",E488-F488)</f>
        <v/>
      </c>
      <c r="H488" s="16" t="n"/>
      <c r="I488" s="17" t="n"/>
    </row>
    <row r="489">
      <c r="A489" s="5" t="inlineStr">
        <is>
          <t>AU3-SN</t>
        </is>
      </c>
      <c r="B489" s="5" t="inlineStr">
        <is>
          <t>Autônomo × CNPJ — Simples Nacional (mensal)</t>
        </is>
      </c>
      <c r="C489" s="6" t="inlineStr">
        <is>
          <t>Receita R$ 40.000/mês, 1 dependente</t>
        </is>
      </c>
      <c r="D489" s="5" t="inlineStr">
        <is>
          <t>DAS</t>
        </is>
      </c>
      <c r="E489" s="7" t="n">
        <v>3930</v>
      </c>
      <c r="F489" s="8" t="n"/>
      <c r="G489" s="7">
        <f>IF(F489="","",E489-F489)</f>
        <v/>
      </c>
      <c r="H489" s="5" t="n"/>
      <c r="I489" s="6" t="n"/>
    </row>
    <row r="490">
      <c r="A490" s="5" t="inlineStr">
        <is>
          <t>AU3-SN</t>
        </is>
      </c>
      <c r="B490" s="5" t="inlineStr">
        <is>
          <t>Autônomo × CNPJ — Simples Nacional (mensal)</t>
        </is>
      </c>
      <c r="C490" s="6" t="inlineStr">
        <is>
          <t>Receita R$ 40.000/mês, 1 dependente</t>
        </is>
      </c>
      <c r="D490" s="5" t="inlineStr">
        <is>
          <t>INSS sobre pró-labore (11%)</t>
        </is>
      </c>
      <c r="E490" s="7" t="n">
        <v>932.3099999999999</v>
      </c>
      <c r="F490" s="8" t="n"/>
      <c r="G490" s="7">
        <f>IF(F490="","",E490-F490)</f>
        <v/>
      </c>
      <c r="H490" s="5" t="n"/>
      <c r="I490" s="6" t="n"/>
    </row>
    <row r="491">
      <c r="A491" s="5" t="inlineStr">
        <is>
          <t>AU3-SN</t>
        </is>
      </c>
      <c r="B491" s="5" t="inlineStr">
        <is>
          <t>Autônomo × CNPJ — Simples Nacional (mensal)</t>
        </is>
      </c>
      <c r="C491" s="6" t="inlineStr">
        <is>
          <t>Receita R$ 40.000/mês, 1 dependente</t>
        </is>
      </c>
      <c r="D491" s="5" t="inlineStr">
        <is>
          <t>IRPF sobre pró-labore</t>
        </is>
      </c>
      <c r="E491" s="7" t="n">
        <v>1914.89</v>
      </c>
      <c r="F491" s="8" t="n"/>
      <c r="G491" s="7">
        <f>IF(F491="","",E491-F491)</f>
        <v/>
      </c>
      <c r="H491" s="5" t="n"/>
      <c r="I491" s="6" t="n"/>
    </row>
    <row r="492">
      <c r="A492" s="9" t="inlineStr">
        <is>
          <t>AU3-SN</t>
        </is>
      </c>
      <c r="B492" s="9" t="inlineStr">
        <is>
          <t>Autônomo × CNPJ — Simples Nacional (mensal)</t>
        </is>
      </c>
      <c r="C492" s="10" t="inlineStr">
        <is>
          <t>Receita R$ 40.000/mês, 1 dependente</t>
        </is>
      </c>
      <c r="D492" s="9" t="inlineStr">
        <is>
          <t>TOTAL</t>
        </is>
      </c>
      <c r="E492" s="11">
        <f>SUM(E489:E491)</f>
        <v/>
      </c>
      <c r="F492" s="12" t="n"/>
      <c r="G492" s="11">
        <f>IF(F492="","",E492-F492)</f>
        <v/>
      </c>
      <c r="H492" s="9" t="n"/>
      <c r="I492" s="10" t="n"/>
    </row>
    <row r="493">
      <c r="A493" s="13" t="inlineStr">
        <is>
          <t>AU3-LP</t>
        </is>
      </c>
      <c r="B493" s="13" t="inlineStr">
        <is>
          <t>Autônomo × CNPJ — Lucro Presumido (mensal)</t>
        </is>
      </c>
      <c r="C493" s="14" t="inlineStr">
        <is>
          <t>Receita R$ 40.000/mês, 1 dependente</t>
        </is>
      </c>
      <c r="D493" s="13" t="inlineStr">
        <is>
          <t>IRPJ</t>
        </is>
      </c>
      <c r="E493" s="15" t="n">
        <v>1920</v>
      </c>
      <c r="F493" s="8" t="n"/>
      <c r="G493" s="15">
        <f>IF(F493="","",E493-F493)</f>
        <v/>
      </c>
      <c r="H493" s="13" t="n"/>
      <c r="I493" s="14" t="n"/>
    </row>
    <row r="494">
      <c r="A494" s="13" t="inlineStr">
        <is>
          <t>AU3-LP</t>
        </is>
      </c>
      <c r="B494" s="13" t="inlineStr">
        <is>
          <t>Autônomo × CNPJ — Lucro Presumido (mensal)</t>
        </is>
      </c>
      <c r="C494" s="14" t="inlineStr">
        <is>
          <t>Receita R$ 40.000/mês, 1 dependente</t>
        </is>
      </c>
      <c r="D494" s="13" t="inlineStr">
        <is>
          <t>CSLL</t>
        </is>
      </c>
      <c r="E494" s="15" t="n">
        <v>1152</v>
      </c>
      <c r="F494" s="8" t="n"/>
      <c r="G494" s="15">
        <f>IF(F494="","",E494-F494)</f>
        <v/>
      </c>
      <c r="H494" s="13" t="n"/>
      <c r="I494" s="14" t="n"/>
    </row>
    <row r="495">
      <c r="A495" s="13" t="inlineStr">
        <is>
          <t>AU3-LP</t>
        </is>
      </c>
      <c r="B495" s="13" t="inlineStr">
        <is>
          <t>Autônomo × CNPJ — Lucro Presumido (mensal)</t>
        </is>
      </c>
      <c r="C495" s="14" t="inlineStr">
        <is>
          <t>Receita R$ 40.000/mês, 1 dependente</t>
        </is>
      </c>
      <c r="D495" s="13" t="inlineStr">
        <is>
          <t>PIS</t>
        </is>
      </c>
      <c r="E495" s="15" t="n">
        <v>260</v>
      </c>
      <c r="F495" s="8" t="n"/>
      <c r="G495" s="15">
        <f>IF(F495="","",E495-F495)</f>
        <v/>
      </c>
      <c r="H495" s="13" t="n"/>
      <c r="I495" s="14" t="n"/>
    </row>
    <row r="496">
      <c r="A496" s="13" t="inlineStr">
        <is>
          <t>AU3-LP</t>
        </is>
      </c>
      <c r="B496" s="13" t="inlineStr">
        <is>
          <t>Autônomo × CNPJ — Lucro Presumido (mensal)</t>
        </is>
      </c>
      <c r="C496" s="14" t="inlineStr">
        <is>
          <t>Receita R$ 40.000/mês, 1 dependente</t>
        </is>
      </c>
      <c r="D496" s="13" t="inlineStr">
        <is>
          <t>Cofins</t>
        </is>
      </c>
      <c r="E496" s="15" t="n">
        <v>1200</v>
      </c>
      <c r="F496" s="8" t="n"/>
      <c r="G496" s="15">
        <f>IF(F496="","",E496-F496)</f>
        <v/>
      </c>
      <c r="H496" s="13" t="n"/>
      <c r="I496" s="14" t="n"/>
    </row>
    <row r="497">
      <c r="A497" s="13" t="inlineStr">
        <is>
          <t>AU3-LP</t>
        </is>
      </c>
      <c r="B497" s="13" t="inlineStr">
        <is>
          <t>Autônomo × CNPJ — Lucro Presumido (mensal)</t>
        </is>
      </c>
      <c r="C497" s="14" t="inlineStr">
        <is>
          <t>Receita R$ 40.000/mês, 1 dependente</t>
        </is>
      </c>
      <c r="D497" s="13" t="inlineStr">
        <is>
          <t>ISS</t>
        </is>
      </c>
      <c r="E497" s="15" t="n">
        <v>2000</v>
      </c>
      <c r="F497" s="8" t="n"/>
      <c r="G497" s="15">
        <f>IF(F497="","",E497-F497)</f>
        <v/>
      </c>
      <c r="H497" s="13" t="n"/>
      <c r="I497" s="14" t="n"/>
    </row>
    <row r="498">
      <c r="A498" s="13" t="inlineStr">
        <is>
          <t>AU3-LP</t>
        </is>
      </c>
      <c r="B498" s="13" t="inlineStr">
        <is>
          <t>Autônomo × CNPJ — Lucro Presumido (mensal)</t>
        </is>
      </c>
      <c r="C498" s="14" t="inlineStr">
        <is>
          <t>Receita R$ 40.000/mês, 1 dependente</t>
        </is>
      </c>
      <c r="D498" s="13" t="inlineStr">
        <is>
          <t>INSS patronal</t>
        </is>
      </c>
      <c r="E498" s="15" t="n">
        <v>324.2</v>
      </c>
      <c r="F498" s="8" t="n"/>
      <c r="G498" s="15">
        <f>IF(F498="","",E498-F498)</f>
        <v/>
      </c>
      <c r="H498" s="13" t="n"/>
      <c r="I498" s="14" t="n"/>
    </row>
    <row r="499">
      <c r="A499" s="13" t="inlineStr">
        <is>
          <t>AU3-LP</t>
        </is>
      </c>
      <c r="B499" s="13" t="inlineStr">
        <is>
          <t>Autônomo × CNPJ — Lucro Presumido (mensal)</t>
        </is>
      </c>
      <c r="C499" s="14" t="inlineStr">
        <is>
          <t>Receita R$ 40.000/mês, 1 dependente</t>
        </is>
      </c>
      <c r="D499" s="13" t="inlineStr">
        <is>
          <t>INSS sobre pró-labore (11%)</t>
        </is>
      </c>
      <c r="E499" s="15" t="n">
        <v>178.31</v>
      </c>
      <c r="F499" s="8" t="n"/>
      <c r="G499" s="15">
        <f>IF(F499="","",E499-F499)</f>
        <v/>
      </c>
      <c r="H499" s="13" t="n"/>
      <c r="I499" s="14" t="n"/>
    </row>
    <row r="500">
      <c r="A500" s="13" t="inlineStr">
        <is>
          <t>AU3-LP</t>
        </is>
      </c>
      <c r="B500" s="13" t="inlineStr">
        <is>
          <t>Autônomo × CNPJ — Lucro Presumido (mensal)</t>
        </is>
      </c>
      <c r="C500" s="14" t="inlineStr">
        <is>
          <t>Receita R$ 40.000/mês, 1 dependente</t>
        </is>
      </c>
      <c r="D500" s="13" t="inlineStr">
        <is>
          <t>IRPF sobre pró-labore</t>
        </is>
      </c>
      <c r="E500" s="15" t="n">
        <v>0</v>
      </c>
      <c r="F500" s="8" t="n"/>
      <c r="G500" s="15">
        <f>IF(F500="","",E500-F500)</f>
        <v/>
      </c>
      <c r="H500" s="13" t="n"/>
      <c r="I500" s="14" t="n"/>
    </row>
    <row r="501">
      <c r="A501" s="16" t="inlineStr">
        <is>
          <t>AU3-LP</t>
        </is>
      </c>
      <c r="B501" s="16" t="inlineStr">
        <is>
          <t>Autônomo × CNPJ — Lucro Presumido (mensal)</t>
        </is>
      </c>
      <c r="C501" s="17" t="inlineStr">
        <is>
          <t>Receita R$ 40.000/mês, 1 dependente</t>
        </is>
      </c>
      <c r="D501" s="16" t="inlineStr">
        <is>
          <t>TOTAL</t>
        </is>
      </c>
      <c r="E501" s="18">
        <f>SUM(E493:E500)</f>
        <v/>
      </c>
      <c r="F501" s="12" t="n"/>
      <c r="G501" s="18">
        <f>IF(F501="","",E501-F501)</f>
        <v/>
      </c>
      <c r="H501" s="16" t="n"/>
      <c r="I501" s="17" t="n"/>
    </row>
    <row r="502">
      <c r="A502" s="5" t="inlineStr">
        <is>
          <t>REC1</t>
        </is>
      </c>
      <c r="B502" s="5" t="inlineStr">
        <is>
          <t>Recuperação: PIS/Cofins monofásico e ICMS-ST (jan/2026)</t>
        </is>
      </c>
      <c r="C502" s="6" t="inlineStr">
        <is>
          <t>Comércio (Anexo I), RBT12 R$ 1.200.000; vendas de R$ 10.000 em monofásicos e R$ 20.000 com ST</t>
        </is>
      </c>
      <c r="D502" s="5" t="inlineStr">
        <is>
          <t>PIS/Cofins pagos a mais (produtos monofásicos)</t>
        </is>
      </c>
      <c r="E502" s="7" t="n">
        <v>136.79</v>
      </c>
      <c r="F502" s="8" t="n"/>
      <c r="G502" s="7">
        <f>IF(F502="","",E502-F502)</f>
        <v/>
      </c>
      <c r="H502" s="5" t="n"/>
      <c r="I502" s="6" t="n"/>
    </row>
    <row r="503">
      <c r="A503" s="5" t="inlineStr">
        <is>
          <t>REC1</t>
        </is>
      </c>
      <c r="B503" s="5" t="inlineStr">
        <is>
          <t>Recuperação: PIS/Cofins monofásico e ICMS-ST (jan/2026)</t>
        </is>
      </c>
      <c r="C503" s="6" t="inlineStr">
        <is>
          <t>Comércio (Anexo I), RBT12 R$ 1.200.000; vendas de R$ 10.000 em monofásicos e R$ 20.000 com ST</t>
        </is>
      </c>
      <c r="D503" s="5" t="inlineStr">
        <is>
          <t>ICMS pago a mais (produtos com ST)</t>
        </is>
      </c>
      <c r="E503" s="7" t="n">
        <v>591.28</v>
      </c>
      <c r="F503" s="8" t="n"/>
      <c r="G503" s="7">
        <f>IF(F503="","",E503-F503)</f>
        <v/>
      </c>
      <c r="H503" s="5" t="n"/>
      <c r="I503" s="6" t="n"/>
    </row>
    <row r="504">
      <c r="A504" s="9" t="inlineStr">
        <is>
          <t>REC1</t>
        </is>
      </c>
      <c r="B504" s="9" t="inlineStr">
        <is>
          <t>Recuperação: PIS/Cofins monofásico e ICMS-ST (jan/2026)</t>
        </is>
      </c>
      <c r="C504" s="10" t="inlineStr">
        <is>
          <t>Comércio (Anexo I), RBT12 R$ 1.200.000; vendas de R$ 10.000 em monofásicos e R$ 20.000 com ST</t>
        </is>
      </c>
      <c r="D504" s="9" t="inlineStr">
        <is>
          <t>TOTAL</t>
        </is>
      </c>
      <c r="E504" s="11">
        <f>SUM(E502:E503)</f>
        <v/>
      </c>
      <c r="F504" s="12" t="n"/>
      <c r="G504" s="11">
        <f>IF(F504="","",E504-F504)</f>
        <v/>
      </c>
      <c r="H504" s="9" t="n"/>
      <c r="I504" s="10" t="n"/>
    </row>
    <row r="505">
      <c r="A505" s="13" t="inlineStr">
        <is>
          <t>REC2</t>
        </is>
      </c>
      <c r="B505" s="13" t="inlineStr">
        <is>
          <t>Recuperação: PIS/Cofins monofásico e ICMS-ST (jan/2026)</t>
        </is>
      </c>
      <c r="C505" s="14" t="inlineStr">
        <is>
          <t>Comércio (Anexo I), RBT12 R$ 4.800.000 (6ª faixa: ICMS fora do DAS); R$ 10.000 em cada</t>
        </is>
      </c>
      <c r="D505" s="13" t="inlineStr">
        <is>
          <t>PIS/Cofins pagos a mais (produtos monofásicos)</t>
        </is>
      </c>
      <c r="E505" s="15" t="n">
        <v>382.7</v>
      </c>
      <c r="F505" s="8" t="n"/>
      <c r="G505" s="15">
        <f>IF(F505="","",E505-F505)</f>
        <v/>
      </c>
      <c r="H505" s="13" t="n"/>
      <c r="I505" s="14" t="n"/>
    </row>
    <row r="506">
      <c r="A506" s="13" t="inlineStr">
        <is>
          <t>REC2</t>
        </is>
      </c>
      <c r="B506" s="13" t="inlineStr">
        <is>
          <t>Recuperação: PIS/Cofins monofásico e ICMS-ST (jan/2026)</t>
        </is>
      </c>
      <c r="C506" s="14" t="inlineStr">
        <is>
          <t>Comércio (Anexo I), RBT12 R$ 4.800.000 (6ª faixa: ICMS fora do DAS); R$ 10.000 em cada</t>
        </is>
      </c>
      <c r="D506" s="13" t="inlineStr">
        <is>
          <t>ICMS pago a mais (produtos com ST)</t>
        </is>
      </c>
      <c r="E506" s="15" t="n">
        <v>0</v>
      </c>
      <c r="F506" s="8" t="n"/>
      <c r="G506" s="15">
        <f>IF(F506="","",E506-F506)</f>
        <v/>
      </c>
      <c r="H506" s="13" t="n"/>
      <c r="I506" s="14" t="n"/>
    </row>
    <row r="507">
      <c r="A507" s="16" t="inlineStr">
        <is>
          <t>REC2</t>
        </is>
      </c>
      <c r="B507" s="16" t="inlineStr">
        <is>
          <t>Recuperação: PIS/Cofins monofásico e ICMS-ST (jan/2026)</t>
        </is>
      </c>
      <c r="C507" s="17" t="inlineStr">
        <is>
          <t>Comércio (Anexo I), RBT12 R$ 4.800.000 (6ª faixa: ICMS fora do DAS); R$ 10.000 em cada</t>
        </is>
      </c>
      <c r="D507" s="16" t="inlineStr">
        <is>
          <t>TOTAL</t>
        </is>
      </c>
      <c r="E507" s="18">
        <f>SUM(E505:E506)</f>
        <v/>
      </c>
      <c r="F507" s="12" t="n"/>
      <c r="G507" s="18">
        <f>IF(F507="","",E507-F507)</f>
        <v/>
      </c>
      <c r="H507" s="16" t="n"/>
      <c r="I507" s="17" t="n"/>
    </row>
    <row r="508">
      <c r="A508" s="5" t="inlineStr">
        <is>
          <t>REC3</t>
        </is>
      </c>
      <c r="B508" s="5" t="inlineStr">
        <is>
          <t>Recuperação: PIS/Cofins monofásico e ICMS-ST (jan/2026)</t>
        </is>
      </c>
      <c r="C508" s="6" t="inlineStr">
        <is>
          <t>Indústria (Anexo II), RBT12 R$ 600.000; R$ 8.000 em monofásicos e R$ 12.000 com ST</t>
        </is>
      </c>
      <c r="D508" s="5" t="inlineStr">
        <is>
          <t>PIS/Cofins pagos a mais (produtos monofásicos)</t>
        </is>
      </c>
      <c r="E508" s="7" t="n">
        <v>86.13</v>
      </c>
      <c r="F508" s="8" t="n"/>
      <c r="G508" s="7">
        <f>IF(F508="","",E508-F508)</f>
        <v/>
      </c>
      <c r="H508" s="5" t="n"/>
      <c r="I508" s="6" t="n"/>
    </row>
    <row r="509">
      <c r="A509" s="5" t="inlineStr">
        <is>
          <t>REC3</t>
        </is>
      </c>
      <c r="B509" s="5" t="inlineStr">
        <is>
          <t>Recuperação: PIS/Cofins monofásico e ICMS-ST (jan/2026)</t>
        </is>
      </c>
      <c r="C509" s="6" t="inlineStr">
        <is>
          <t>Indústria (Anexo II), RBT12 R$ 600.000; R$ 8.000 em monofásicos e R$ 12.000 com ST</t>
        </is>
      </c>
      <c r="D509" s="5" t="inlineStr">
        <is>
          <t>ICMS pago a mais (produtos com ST)</t>
        </is>
      </c>
      <c r="E509" s="7" t="n">
        <v>295.3</v>
      </c>
      <c r="F509" s="8" t="n"/>
      <c r="G509" s="7">
        <f>IF(F509="","",E509-F509)</f>
        <v/>
      </c>
      <c r="H509" s="5" t="n"/>
      <c r="I509" s="6" t="n"/>
    </row>
    <row r="510">
      <c r="A510" s="9" t="inlineStr">
        <is>
          <t>REC3</t>
        </is>
      </c>
      <c r="B510" s="9" t="inlineStr">
        <is>
          <t>Recuperação: PIS/Cofins monofásico e ICMS-ST (jan/2026)</t>
        </is>
      </c>
      <c r="C510" s="10" t="inlineStr">
        <is>
          <t>Indústria (Anexo II), RBT12 R$ 600.000; R$ 8.000 em monofásicos e R$ 12.000 com ST</t>
        </is>
      </c>
      <c r="D510" s="9" t="inlineStr">
        <is>
          <t>TOTAL</t>
        </is>
      </c>
      <c r="E510" s="11">
        <f>SUM(E508:E509)</f>
        <v/>
      </c>
      <c r="F510" s="12" t="n"/>
      <c r="G510" s="11">
        <f>IF(F510="","",E510-F510)</f>
        <v/>
      </c>
      <c r="H510" s="9" t="n"/>
      <c r="I510" s="10" t="n"/>
    </row>
    <row r="511">
      <c r="A511" s="13" t="inlineStr">
        <is>
          <t>AV1</t>
        </is>
      </c>
      <c r="B511" s="13" t="inlineStr">
        <is>
          <t>Avisos: fator R (2026)</t>
        </is>
      </c>
      <c r="C511" s="14" t="inlineStr">
        <is>
          <t>Serviços com fator R; receita R$ 600.000; folha CLT R$ 96.000; pró-labore R$ 60.000</t>
        </is>
      </c>
      <c r="D511" s="13" t="inlineStr">
        <is>
          <t>DAS no Anexo V (fator R abaixo de 28%)</t>
        </is>
      </c>
      <c r="E511" s="15" t="n">
        <v>107100</v>
      </c>
      <c r="F511" s="8" t="n"/>
      <c r="G511" s="15">
        <f>IF(F511="","",E511-F511)</f>
        <v/>
      </c>
      <c r="H511" s="13" t="n"/>
      <c r="I511" s="14" t="n"/>
    </row>
    <row r="512">
      <c r="A512" s="13" t="inlineStr">
        <is>
          <t>AV1</t>
        </is>
      </c>
      <c r="B512" s="13" t="inlineStr">
        <is>
          <t>Avisos: fator R (2026)</t>
        </is>
      </c>
      <c r="C512" s="14" t="inlineStr">
        <is>
          <t>Serviços com fator R; receita R$ 600.000; folha CLT R$ 96.000; pró-labore R$ 60.000</t>
        </is>
      </c>
      <c r="D512" s="13" t="inlineStr">
        <is>
          <t>DAS no Anexo III (fator R de 28%)</t>
        </is>
      </c>
      <c r="E512" s="15" t="n">
        <v>63360</v>
      </c>
      <c r="F512" s="8" t="n"/>
      <c r="G512" s="15">
        <f>IF(F512="","",E512-F512)</f>
        <v/>
      </c>
      <c r="H512" s="13" t="n"/>
      <c r="I512" s="14" t="n"/>
    </row>
    <row r="513">
      <c r="A513" s="13" t="inlineStr">
        <is>
          <t>AV1</t>
        </is>
      </c>
      <c r="B513" s="13" t="inlineStr">
        <is>
          <t>Avisos: fator R (2026)</t>
        </is>
      </c>
      <c r="C513" s="14" t="inlineStr">
        <is>
          <t>Serviços com fator R; receita R$ 600.000; folha CLT R$ 96.000; pró-labore R$ 60.000</t>
        </is>
      </c>
      <c r="D513" s="13" t="inlineStr">
        <is>
          <t>INSS do sócio sobre o pró-labore adicional</t>
        </is>
      </c>
      <c r="E513" s="15" t="n">
        <v>475.2</v>
      </c>
      <c r="F513" s="8" t="n"/>
      <c r="G513" s="15">
        <f>IF(F513="","",E513-F513)</f>
        <v/>
      </c>
      <c r="H513" s="13" t="n"/>
      <c r="I513" s="14" t="n"/>
    </row>
    <row r="514">
      <c r="A514" s="13" t="inlineStr">
        <is>
          <t>AV1</t>
        </is>
      </c>
      <c r="B514" s="13" t="inlineStr">
        <is>
          <t>Avisos: fator R (2026)</t>
        </is>
      </c>
      <c r="C514" s="14" t="inlineStr">
        <is>
          <t>Serviços com fator R; receita R$ 600.000; folha CLT R$ 96.000; pró-labore R$ 60.000</t>
        </is>
      </c>
      <c r="D514" s="13" t="inlineStr">
        <is>
          <t>Ganho líquido anual</t>
        </is>
      </c>
      <c r="E514" s="15" t="n">
        <v>43264.8</v>
      </c>
      <c r="F514" s="8" t="n"/>
      <c r="G514" s="15">
        <f>IF(F514="","",E514-F514)</f>
        <v/>
      </c>
      <c r="H514" s="13" t="n"/>
      <c r="I514" s="14" t="n"/>
    </row>
    <row r="515">
      <c r="A515" s="5" t="inlineStr">
        <is>
          <t>AV2</t>
        </is>
      </c>
      <c r="B515" s="5" t="inlineStr">
        <is>
          <t>Avisos: fator R (2026)</t>
        </is>
      </c>
      <c r="C515" s="6" t="inlineStr">
        <is>
          <t>Serviços com fator R; receita R$ 600.000; folha CLT R$ 96.000; pró-labore R$ 72.000</t>
        </is>
      </c>
      <c r="D515" s="5" t="inlineStr">
        <is>
          <t>DAS no Anexo V (fator R abaixo de 28%)</t>
        </is>
      </c>
      <c r="E515" s="7" t="n">
        <v>107100</v>
      </c>
      <c r="F515" s="8" t="n"/>
      <c r="G515" s="7">
        <f>IF(F515="","",E515-F515)</f>
        <v/>
      </c>
      <c r="H515" s="5" t="n"/>
      <c r="I515" s="6" t="n"/>
    </row>
    <row r="516">
      <c r="A516" s="5" t="inlineStr">
        <is>
          <t>AV2</t>
        </is>
      </c>
      <c r="B516" s="5" t="inlineStr">
        <is>
          <t>Avisos: fator R (2026)</t>
        </is>
      </c>
      <c r="C516" s="6" t="inlineStr">
        <is>
          <t>Serviços com fator R; receita R$ 600.000; folha CLT R$ 96.000; pró-labore R$ 72.000</t>
        </is>
      </c>
      <c r="D516" s="5" t="inlineStr">
        <is>
          <t>DAS no Anexo III (fator R de 28%)</t>
        </is>
      </c>
      <c r="E516" s="7" t="n">
        <v>63360</v>
      </c>
      <c r="F516" s="8" t="n"/>
      <c r="G516" s="7">
        <f>IF(F516="","",E516-F516)</f>
        <v/>
      </c>
      <c r="H516" s="5" t="n"/>
      <c r="I516" s="6" t="n"/>
    </row>
    <row r="517">
      <c r="A517" s="5" t="inlineStr">
        <is>
          <t>AV2</t>
        </is>
      </c>
      <c r="B517" s="5" t="inlineStr">
        <is>
          <t>Avisos: fator R (2026)</t>
        </is>
      </c>
      <c r="C517" s="6" t="inlineStr">
        <is>
          <t>Serviços com fator R; receita R$ 600.000; folha CLT R$ 96.000; pró-labore R$ 72.000</t>
        </is>
      </c>
      <c r="D517" s="5" t="inlineStr">
        <is>
          <t>Impacto anual se cair para o Anexo V</t>
        </is>
      </c>
      <c r="E517" s="7" t="n">
        <v>43740</v>
      </c>
      <c r="F517" s="8" t="n"/>
      <c r="G517" s="7">
        <f>IF(F517="","",E517-F517)</f>
        <v/>
      </c>
      <c r="H517" s="5" t="n"/>
      <c r="I517" s="6" t="n"/>
    </row>
  </sheetData>
  <autoFilter ref="A1:I517"/>
  <dataValidations count="1">
    <dataValidation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H504 H505 H506 H507 H508 H509 H510 H511 H512 H513 H514 H515 H516 H517" showDropDown="0" showInputMessage="0" showErrorMessage="0" allowBlank="1" type="list">
      <formula1>"Sim,Não,Revisar"</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1094"/>
  <sheetViews>
    <sheetView workbookViewId="0">
      <pane ySplit="1" topLeftCell="A2" activePane="bottomLeft" state="frozen"/>
      <selection pane="bottomLeft" activeCell="A1" sqref="A1"/>
    </sheetView>
  </sheetViews>
  <sheetFormatPr baseColWidth="8" defaultRowHeight="15"/>
  <cols>
    <col width="11" customWidth="1" min="1" max="1"/>
    <col width="40" customWidth="1" min="2" max="2"/>
    <col width="90" customWidth="1" min="3" max="3"/>
    <col width="18" customWidth="1" min="4" max="4"/>
    <col width="45" customWidth="1" min="5" max="5"/>
  </cols>
  <sheetData>
    <row r="1" ht="30" customHeight="1">
      <c r="A1" s="4" t="inlineStr">
        <is>
          <t>Caso</t>
        </is>
      </c>
      <c r="B1" s="4" t="inlineStr">
        <is>
          <t>Passo</t>
        </is>
      </c>
      <c r="C1" s="4" t="inlineStr">
        <is>
          <t>Fórmula</t>
        </is>
      </c>
      <c r="D1" s="4" t="inlineStr">
        <is>
          <t>Valor</t>
        </is>
      </c>
      <c r="E1" s="4" t="inlineStr">
        <is>
          <t>Base legal</t>
        </is>
      </c>
    </row>
    <row r="2">
      <c r="A2" s="5" t="inlineStr">
        <is>
          <t>E1-SN</t>
        </is>
      </c>
      <c r="B2" s="6" t="inlineStr">
        <is>
          <t>Fator R (folha 12 meses / RBT12)</t>
        </is>
      </c>
      <c r="C2" s="6" t="inlineStr">
        <is>
          <t>R$ 163.680,00 (salários + pró-labore + FGTS 8%) / R$ 600.000,00 = 27,28% -&gt; Anexo V</t>
        </is>
      </c>
      <c r="D2" s="19" t="n">
        <v>0.2728</v>
      </c>
      <c r="E2" s="6" t="inlineStr">
        <is>
          <t>LC 123/2006, art. 18, §5º-J, §5º-M e §24</t>
        </is>
      </c>
    </row>
    <row r="3">
      <c r="A3" s="5" t="inlineStr">
        <is>
          <t>E1-SN</t>
        </is>
      </c>
      <c r="B3" s="6" t="inlineStr">
        <is>
          <t>Alíquota efetiva - Anexo V, 3ª faixa</t>
        </is>
      </c>
      <c r="C3" s="6" t="inlineStr">
        <is>
          <t>(R$ 600.000,00 x 19,50% - R$ 9.900,00) / R$ 600.000,00 = 17,8500%</t>
        </is>
      </c>
      <c r="D3" s="19" t="n">
        <v>0.1785</v>
      </c>
      <c r="E3" s="6" t="inlineStr">
        <is>
          <t>LC 123/2006, art. 18, §1º e §1º-A</t>
        </is>
      </c>
    </row>
    <row r="4">
      <c r="A4" s="5" t="inlineStr">
        <is>
          <t>E1-SN</t>
        </is>
      </c>
      <c r="B4" s="6" t="inlineStr">
        <is>
          <t>DAS anual</t>
        </is>
      </c>
      <c r="C4" s="6" t="inlineStr">
        <is>
          <t>R$ 600.000,00 x 17,8500%</t>
        </is>
      </c>
      <c r="D4" s="7" t="n">
        <v>107100</v>
      </c>
      <c r="E4" s="6" t="inlineStr">
        <is>
          <t>LC 123/2006, art. 13</t>
        </is>
      </c>
    </row>
    <row r="5">
      <c r="A5" s="5" t="inlineStr">
        <is>
          <t>E1-LP</t>
        </is>
      </c>
      <c r="B5" s="6" t="inlineStr">
        <is>
          <t>Percentuais de presunção</t>
        </is>
      </c>
      <c r="C5" s="6" t="inlineStr">
        <is>
          <t>Prestação de serviços em geral: IRPJ 32,0%, CSLL 32,0%</t>
        </is>
      </c>
      <c r="D5" s="19" t="n">
        <v>0.32</v>
      </c>
      <c r="E5" s="6" t="inlineStr">
        <is>
          <t>Lei 9.249/1995, art. 15, §1º e art. 20</t>
        </is>
      </c>
    </row>
    <row r="6">
      <c r="A6" s="5" t="inlineStr">
        <is>
          <t>E1-LP</t>
        </is>
      </c>
      <c r="B6" s="6" t="inlineStr">
        <is>
          <t>1º tri - base presumida IRPJ</t>
        </is>
      </c>
      <c r="C6" s="6" t="inlineStr">
        <is>
          <t>R$ 150.000,00 x 32,0%</t>
        </is>
      </c>
      <c r="D6" s="7" t="n">
        <v>48000</v>
      </c>
      <c r="E6" s="6" t="inlineStr">
        <is>
          <t>Lei 9.249/1995, arts. 15 e 20</t>
        </is>
      </c>
    </row>
    <row r="7">
      <c r="A7" s="5" t="inlineStr">
        <is>
          <t>E1-LP</t>
        </is>
      </c>
      <c r="B7" s="6" t="inlineStr">
        <is>
          <t>1º tri - IRPJ</t>
        </is>
      </c>
      <c r="C7" s="6" t="inlineStr">
        <is>
          <t>R$ 48.000,00 x 15% + adicional 10% sobre o que exceder R$ 60.000,00</t>
        </is>
      </c>
      <c r="D7" s="7" t="n">
        <v>7200</v>
      </c>
      <c r="E7" s="6" t="inlineStr">
        <is>
          <t>Lei 9.430/1996, arts. 3º e 4º</t>
        </is>
      </c>
    </row>
    <row r="8">
      <c r="A8" s="5" t="inlineStr">
        <is>
          <t>E1-LP</t>
        </is>
      </c>
      <c r="B8" s="6" t="inlineStr">
        <is>
          <t>1º tri - base presumida CSLL</t>
        </is>
      </c>
      <c r="C8" s="6" t="inlineStr">
        <is>
          <t>R$ 150.000,00 x 32,0%</t>
        </is>
      </c>
      <c r="D8" s="7" t="n">
        <v>48000</v>
      </c>
      <c r="E8" s="6" t="inlineStr">
        <is>
          <t>Lei 9.249/1995, arts. 15 e 20</t>
        </is>
      </c>
    </row>
    <row r="9">
      <c r="A9" s="5" t="inlineStr">
        <is>
          <t>E1-LP</t>
        </is>
      </c>
      <c r="B9" s="6" t="inlineStr">
        <is>
          <t>1º tri - CSLL</t>
        </is>
      </c>
      <c r="C9" s="6" t="inlineStr">
        <is>
          <t>R$ 48.000,00 x 9%</t>
        </is>
      </c>
      <c r="D9" s="7" t="n">
        <v>4320</v>
      </c>
      <c r="E9" s="6" t="inlineStr">
        <is>
          <t>Lei 7.689/1988, art. 3º</t>
        </is>
      </c>
    </row>
    <row r="10">
      <c r="A10" s="5" t="inlineStr">
        <is>
          <t>E1-LP</t>
        </is>
      </c>
      <c r="B10" s="6" t="inlineStr">
        <is>
          <t>2º tri - base presumida IRPJ</t>
        </is>
      </c>
      <c r="C10" s="6" t="inlineStr">
        <is>
          <t>R$ 150.000,00 x 32,0%</t>
        </is>
      </c>
      <c r="D10" s="7" t="n">
        <v>48000</v>
      </c>
      <c r="E10" s="6" t="inlineStr">
        <is>
          <t>Lei 9.249/1995, arts. 15 e 20</t>
        </is>
      </c>
    </row>
    <row r="11">
      <c r="A11" s="5" t="inlineStr">
        <is>
          <t>E1-LP</t>
        </is>
      </c>
      <c r="B11" s="6" t="inlineStr">
        <is>
          <t>2º tri - IRPJ</t>
        </is>
      </c>
      <c r="C11" s="6" t="inlineStr">
        <is>
          <t>R$ 48.000,00 x 15% + adicional 10% sobre o que exceder R$ 60.000,00</t>
        </is>
      </c>
      <c r="D11" s="7" t="n">
        <v>7200</v>
      </c>
      <c r="E11" s="6" t="inlineStr">
        <is>
          <t>Lei 9.430/1996, arts. 3º e 4º</t>
        </is>
      </c>
    </row>
    <row r="12">
      <c r="A12" s="5" t="inlineStr">
        <is>
          <t>E1-LP</t>
        </is>
      </c>
      <c r="B12" s="6" t="inlineStr">
        <is>
          <t>2º tri - base presumida CSLL</t>
        </is>
      </c>
      <c r="C12" s="6" t="inlineStr">
        <is>
          <t>R$ 150.000,00 x 32,0%</t>
        </is>
      </c>
      <c r="D12" s="7" t="n">
        <v>48000</v>
      </c>
      <c r="E12" s="6" t="inlineStr">
        <is>
          <t>Lei 9.249/1995, arts. 15 e 20</t>
        </is>
      </c>
    </row>
    <row r="13">
      <c r="A13" s="5" t="inlineStr">
        <is>
          <t>E1-LP</t>
        </is>
      </c>
      <c r="B13" s="6" t="inlineStr">
        <is>
          <t>2º tri - CSLL</t>
        </is>
      </c>
      <c r="C13" s="6" t="inlineStr">
        <is>
          <t>R$ 48.000,00 x 9%</t>
        </is>
      </c>
      <c r="D13" s="7" t="n">
        <v>4320</v>
      </c>
      <c r="E13" s="6" t="inlineStr">
        <is>
          <t>Lei 7.689/1988, art. 3º</t>
        </is>
      </c>
    </row>
    <row r="14">
      <c r="A14" s="5" t="inlineStr">
        <is>
          <t>E1-LP</t>
        </is>
      </c>
      <c r="B14" s="6" t="inlineStr">
        <is>
          <t>3º tri - base presumida IRPJ</t>
        </is>
      </c>
      <c r="C14" s="6" t="inlineStr">
        <is>
          <t>R$ 150.000,00 x 32,0%</t>
        </is>
      </c>
      <c r="D14" s="7" t="n">
        <v>48000</v>
      </c>
      <c r="E14" s="6" t="inlineStr">
        <is>
          <t>Lei 9.249/1995, arts. 15 e 20</t>
        </is>
      </c>
    </row>
    <row r="15">
      <c r="A15" s="5" t="inlineStr">
        <is>
          <t>E1-LP</t>
        </is>
      </c>
      <c r="B15" s="6" t="inlineStr">
        <is>
          <t>3º tri - IRPJ</t>
        </is>
      </c>
      <c r="C15" s="6" t="inlineStr">
        <is>
          <t>R$ 48.000,00 x 15% + adicional 10% sobre o que exceder R$ 60.000,00</t>
        </is>
      </c>
      <c r="D15" s="7" t="n">
        <v>7200</v>
      </c>
      <c r="E15" s="6" t="inlineStr">
        <is>
          <t>Lei 9.430/1996, arts. 3º e 4º</t>
        </is>
      </c>
    </row>
    <row r="16">
      <c r="A16" s="5" t="inlineStr">
        <is>
          <t>E1-LP</t>
        </is>
      </c>
      <c r="B16" s="6" t="inlineStr">
        <is>
          <t>3º tri - base presumida CSLL</t>
        </is>
      </c>
      <c r="C16" s="6" t="inlineStr">
        <is>
          <t>R$ 150.000,00 x 32,0%</t>
        </is>
      </c>
      <c r="D16" s="7" t="n">
        <v>48000</v>
      </c>
      <c r="E16" s="6" t="inlineStr">
        <is>
          <t>Lei 9.249/1995, arts. 15 e 20</t>
        </is>
      </c>
    </row>
    <row r="17">
      <c r="A17" s="5" t="inlineStr">
        <is>
          <t>E1-LP</t>
        </is>
      </c>
      <c r="B17" s="6" t="inlineStr">
        <is>
          <t>3º tri - CSLL</t>
        </is>
      </c>
      <c r="C17" s="6" t="inlineStr">
        <is>
          <t>R$ 48.000,00 x 9%</t>
        </is>
      </c>
      <c r="D17" s="7" t="n">
        <v>4320</v>
      </c>
      <c r="E17" s="6" t="inlineStr">
        <is>
          <t>Lei 7.689/1988, art. 3º</t>
        </is>
      </c>
    </row>
    <row r="18">
      <c r="A18" s="5" t="inlineStr">
        <is>
          <t>E1-LP</t>
        </is>
      </c>
      <c r="B18" s="6" t="inlineStr">
        <is>
          <t>4º tri - base presumida IRPJ</t>
        </is>
      </c>
      <c r="C18" s="6" t="inlineStr">
        <is>
          <t>R$ 150.000,00 x 32,0%</t>
        </is>
      </c>
      <c r="D18" s="7" t="n">
        <v>48000</v>
      </c>
      <c r="E18" s="6" t="inlineStr">
        <is>
          <t>Lei 9.249/1995, arts. 15 e 20</t>
        </is>
      </c>
    </row>
    <row r="19">
      <c r="A19" s="5" t="inlineStr">
        <is>
          <t>E1-LP</t>
        </is>
      </c>
      <c r="B19" s="6" t="inlineStr">
        <is>
          <t>4º tri - IRPJ</t>
        </is>
      </c>
      <c r="C19" s="6" t="inlineStr">
        <is>
          <t>R$ 48.000,00 x 15% + adicional 10% sobre o que exceder R$ 60.000,00</t>
        </is>
      </c>
      <c r="D19" s="7" t="n">
        <v>7200</v>
      </c>
      <c r="E19" s="6" t="inlineStr">
        <is>
          <t>Lei 9.430/1996, arts. 3º e 4º</t>
        </is>
      </c>
    </row>
    <row r="20">
      <c r="A20" s="5" t="inlineStr">
        <is>
          <t>E1-LP</t>
        </is>
      </c>
      <c r="B20" s="6" t="inlineStr">
        <is>
          <t>4º tri - base presumida CSLL</t>
        </is>
      </c>
      <c r="C20" s="6" t="inlineStr">
        <is>
          <t>R$ 150.000,00 x 32,0%</t>
        </is>
      </c>
      <c r="D20" s="7" t="n">
        <v>48000</v>
      </c>
      <c r="E20" s="6" t="inlineStr">
        <is>
          <t>Lei 9.249/1995, arts. 15 e 20</t>
        </is>
      </c>
    </row>
    <row r="21">
      <c r="A21" s="5" t="inlineStr">
        <is>
          <t>E1-LP</t>
        </is>
      </c>
      <c r="B21" s="6" t="inlineStr">
        <is>
          <t>4º tri - CSLL</t>
        </is>
      </c>
      <c r="C21" s="6" t="inlineStr">
        <is>
          <t>R$ 48.000,00 x 9%</t>
        </is>
      </c>
      <c r="D21" s="7" t="n">
        <v>4320</v>
      </c>
      <c r="E21" s="6" t="inlineStr">
        <is>
          <t>Lei 7.689/1988, art. 3º</t>
        </is>
      </c>
    </row>
    <row r="22">
      <c r="A22" s="5" t="inlineStr">
        <is>
          <t>E1-LP</t>
        </is>
      </c>
      <c r="B22" s="6" t="inlineStr">
        <is>
          <t>PIS cumulativo</t>
        </is>
      </c>
      <c r="C22" s="6" t="inlineStr">
        <is>
          <t>R$ 600.000,00 x 0,65%</t>
        </is>
      </c>
      <c r="D22" s="7" t="n">
        <v>3900</v>
      </c>
      <c r="E22" s="6" t="inlineStr">
        <is>
          <t>Lei 9.715/1998</t>
        </is>
      </c>
    </row>
    <row r="23">
      <c r="A23" s="5" t="inlineStr">
        <is>
          <t>E1-LP</t>
        </is>
      </c>
      <c r="B23" s="6" t="inlineStr">
        <is>
          <t>Cofins cumulativa</t>
        </is>
      </c>
      <c r="C23" s="6" t="inlineStr">
        <is>
          <t>R$ 600.000,00 x 3,00%</t>
        </is>
      </c>
      <c r="D23" s="7" t="n">
        <v>18000</v>
      </c>
      <c r="E23" s="6" t="inlineStr">
        <is>
          <t>Lei 9.718/1998</t>
        </is>
      </c>
    </row>
    <row r="24">
      <c r="A24" s="5" t="inlineStr">
        <is>
          <t>E1-LP</t>
        </is>
      </c>
      <c r="B24" s="6" t="inlineStr">
        <is>
          <t>ISS</t>
        </is>
      </c>
      <c r="C24" s="6" t="inlineStr">
        <is>
          <t>R$ 600.000,00 x 5,00%</t>
        </is>
      </c>
      <c r="D24" s="7" t="n">
        <v>30000</v>
      </c>
      <c r="E24" s="6" t="inlineStr">
        <is>
          <t>LC 116/2003 e lei municipal</t>
        </is>
      </c>
    </row>
    <row r="25">
      <c r="A25" s="5" t="inlineStr">
        <is>
          <t>E1-LP</t>
        </is>
      </c>
      <c r="B25" s="6" t="inlineStr">
        <is>
          <t>INSS patronal sobre a folha CLT</t>
        </is>
      </c>
      <c r="C25" s="6" t="inlineStr">
        <is>
          <t>R$ 96.000,00 x (20,00% CPP + 2,00% RAT + 5,80% terceiros)</t>
        </is>
      </c>
      <c r="D25" s="7" t="n">
        <v>26688</v>
      </c>
      <c r="E25" s="6" t="inlineStr">
        <is>
          <t>Lei 8.212/1991, art. 22, I e II</t>
        </is>
      </c>
    </row>
    <row r="26">
      <c r="A26" s="5" t="inlineStr">
        <is>
          <t>E1-LP</t>
        </is>
      </c>
      <c r="B26" s="6" t="inlineStr">
        <is>
          <t>INSS patronal sobre o pró-labore</t>
        </is>
      </c>
      <c r="C26" s="6" t="inlineStr">
        <is>
          <t>R$ 60.000,00 x 20,00%</t>
        </is>
      </c>
      <c r="D26" s="7" t="n">
        <v>12000</v>
      </c>
      <c r="E26" s="6" t="inlineStr">
        <is>
          <t>Lei 8.212/1991, art. 22, III</t>
        </is>
      </c>
    </row>
    <row r="27">
      <c r="A27" s="5" t="inlineStr">
        <is>
          <t>E1-LR</t>
        </is>
      </c>
      <c r="B27" s="6" t="inlineStr">
        <is>
          <t>PIS - débito</t>
        </is>
      </c>
      <c r="C27" s="6" t="inlineStr">
        <is>
          <t>R$ 600.000,00 x 1,65%</t>
        </is>
      </c>
      <c r="D27" s="7" t="n">
        <v>9900</v>
      </c>
      <c r="E27" s="6" t="inlineStr">
        <is>
          <t>Lei 10.637/2002</t>
        </is>
      </c>
    </row>
    <row r="28">
      <c r="A28" s="5" t="inlineStr">
        <is>
          <t>E1-LR</t>
        </is>
      </c>
      <c r="B28" s="6" t="inlineStr">
        <is>
          <t>PIS - crédito</t>
        </is>
      </c>
      <c r="C28" s="6" t="inlineStr">
        <is>
          <t>(R$ 0,00 compras + R$ 0,00 despesas creditáveis) x 1,65%</t>
        </is>
      </c>
      <c r="D28" s="7" t="n">
        <v>0</v>
      </c>
      <c r="E28" s="6" t="inlineStr">
        <is>
          <t>Lei 10.637/2002, art. 3º</t>
        </is>
      </c>
    </row>
    <row r="29">
      <c r="A29" s="5" t="inlineStr">
        <is>
          <t>E1-LR</t>
        </is>
      </c>
      <c r="B29" s="6" t="inlineStr">
        <is>
          <t>Cofins - débito</t>
        </is>
      </c>
      <c r="C29" s="6" t="inlineStr">
        <is>
          <t>R$ 600.000,00 x 7,60%</t>
        </is>
      </c>
      <c r="D29" s="7" t="n">
        <v>45600</v>
      </c>
      <c r="E29" s="6" t="inlineStr">
        <is>
          <t>Lei 10.833/2003</t>
        </is>
      </c>
    </row>
    <row r="30">
      <c r="A30" s="5" t="inlineStr">
        <is>
          <t>E1-LR</t>
        </is>
      </c>
      <c r="B30" s="6" t="inlineStr">
        <is>
          <t>Cofins - crédito</t>
        </is>
      </c>
      <c r="C30" s="6" t="inlineStr">
        <is>
          <t>(R$ 0,00 compras + R$ 0,00 despesas creditáveis) x 7,60%</t>
        </is>
      </c>
      <c r="D30" s="7" t="n">
        <v>0</v>
      </c>
      <c r="E30" s="6" t="inlineStr">
        <is>
          <t>Lei 10.833/2003, art. 3º</t>
        </is>
      </c>
    </row>
    <row r="31">
      <c r="A31" s="5" t="inlineStr">
        <is>
          <t>E1-LR</t>
        </is>
      </c>
      <c r="B31" s="6" t="inlineStr">
        <is>
          <t>ISS</t>
        </is>
      </c>
      <c r="C31" s="6" t="inlineStr">
        <is>
          <t>R$ 600.000,00 x 5,00%</t>
        </is>
      </c>
      <c r="D31" s="7" t="n">
        <v>30000</v>
      </c>
      <c r="E31" s="6" t="inlineStr">
        <is>
          <t>LC 116/2003 e lei municipal</t>
        </is>
      </c>
    </row>
    <row r="32">
      <c r="A32" s="5" t="inlineStr">
        <is>
          <t>E1-LR</t>
        </is>
      </c>
      <c r="B32" s="6" t="inlineStr">
        <is>
          <t>INSS patronal sobre a folha CLT</t>
        </is>
      </c>
      <c r="C32" s="6" t="inlineStr">
        <is>
          <t>R$ 96.000,00 x (20,00% CPP + 2,00% RAT + 5,80% terceiros)</t>
        </is>
      </c>
      <c r="D32" s="7" t="n">
        <v>26688</v>
      </c>
      <c r="E32" s="6" t="inlineStr">
        <is>
          <t>Lei 8.212/1991, art. 22, I e II</t>
        </is>
      </c>
    </row>
    <row r="33">
      <c r="A33" s="5" t="inlineStr">
        <is>
          <t>E1-LR</t>
        </is>
      </c>
      <c r="B33" s="6" t="inlineStr">
        <is>
          <t>INSS patronal sobre o pró-labore</t>
        </is>
      </c>
      <c r="C33" s="6" t="inlineStr">
        <is>
          <t>R$ 60.000,00 x 20,00%</t>
        </is>
      </c>
      <c r="D33" s="7" t="n">
        <v>12000</v>
      </c>
      <c r="E33" s="6" t="inlineStr">
        <is>
          <t>Lei 8.212/1991, art. 22, III</t>
        </is>
      </c>
    </row>
    <row r="34">
      <c r="A34" s="5" t="inlineStr">
        <is>
          <t>E1-LR</t>
        </is>
      </c>
      <c r="B34" s="6" t="inlineStr">
        <is>
          <t>Lucro antes do IRPJ/CSLL</t>
        </is>
      </c>
      <c r="C34" s="6" t="inlineStr">
        <is>
          <t>R$ 600.000,00 receita - R$ 0,00 compras - R$ 0,00 despesas - R$ 156.000,00 folha e pró-labore - R$ 7.680,00 FGTS - R$ 124.188,00 tributos dedutíveis</t>
        </is>
      </c>
      <c r="D34" s="7" t="n">
        <v>312132</v>
      </c>
      <c r="E34" s="6" t="inlineStr">
        <is>
          <t>Lei 6.404/1976 (DRE)</t>
        </is>
      </c>
    </row>
    <row r="35">
      <c r="A35" s="5" t="inlineStr">
        <is>
          <t>E1-LR</t>
        </is>
      </c>
      <c r="B35" s="6" t="inlineStr">
        <is>
          <t>IRPJ</t>
        </is>
      </c>
      <c r="C35" s="6" t="inlineStr">
        <is>
          <t>R$ 312.132,00 x 15% + 10% sobre o que exceder R$ 240.000,00</t>
        </is>
      </c>
      <c r="D35" s="7" t="n">
        <v>54033</v>
      </c>
      <c r="E35" s="6" t="inlineStr">
        <is>
          <t>Lei 9.249/1995, art. 3º; Lei 9.430/1996, art. 2º</t>
        </is>
      </c>
    </row>
    <row r="36">
      <c r="A36" s="5" t="inlineStr">
        <is>
          <t>E1-LR</t>
        </is>
      </c>
      <c r="B36" s="6" t="inlineStr">
        <is>
          <t>CSLL</t>
        </is>
      </c>
      <c r="C36" s="6" t="inlineStr">
        <is>
          <t>R$ 312.132,00 x 9%</t>
        </is>
      </c>
      <c r="D36" s="7" t="n">
        <v>28091.88</v>
      </c>
      <c r="E36" s="6" t="inlineStr">
        <is>
          <t>Lei 7.689/1988, art. 3º</t>
        </is>
      </c>
    </row>
    <row r="37">
      <c r="A37" s="5" t="inlineStr">
        <is>
          <t>E2-SN</t>
        </is>
      </c>
      <c r="B37" s="6" t="inlineStr">
        <is>
          <t>Fator R (folha 12 meses / RBT12)</t>
        </is>
      </c>
      <c r="C37" s="6" t="inlineStr">
        <is>
          <t>R$ 175.680,00 (salários + pró-labore + FGTS 8%) / R$ 600.000,00 = 29,28% -&gt; Anexo III</t>
        </is>
      </c>
      <c r="D37" s="19" t="n">
        <v>0.2928</v>
      </c>
      <c r="E37" s="6" t="inlineStr">
        <is>
          <t>LC 123/2006, art. 18, §5º-J, §5º-M e §24</t>
        </is>
      </c>
    </row>
    <row r="38">
      <c r="A38" s="5" t="inlineStr">
        <is>
          <t>E2-SN</t>
        </is>
      </c>
      <c r="B38" s="6" t="inlineStr">
        <is>
          <t>Alíquota efetiva - Anexo III, 3ª faixa</t>
        </is>
      </c>
      <c r="C38" s="6" t="inlineStr">
        <is>
          <t>(R$ 600.000,00 x 13,50% - R$ 17.640,00) / R$ 600.000,00 = 10,5600%</t>
        </is>
      </c>
      <c r="D38" s="19" t="n">
        <v>0.1056</v>
      </c>
      <c r="E38" s="6" t="inlineStr">
        <is>
          <t>LC 123/2006, art. 18, §1º e §1º-A</t>
        </is>
      </c>
    </row>
    <row r="39">
      <c r="A39" s="5" t="inlineStr">
        <is>
          <t>E2-SN</t>
        </is>
      </c>
      <c r="B39" s="6" t="inlineStr">
        <is>
          <t>DAS anual</t>
        </is>
      </c>
      <c r="C39" s="6" t="inlineStr">
        <is>
          <t>R$ 600.000,00 x 10,5600%</t>
        </is>
      </c>
      <c r="D39" s="7" t="n">
        <v>63360</v>
      </c>
      <c r="E39" s="6" t="inlineStr">
        <is>
          <t>LC 123/2006, art. 13</t>
        </is>
      </c>
    </row>
    <row r="40">
      <c r="A40" s="5" t="inlineStr">
        <is>
          <t>E2-LP</t>
        </is>
      </c>
      <c r="B40" s="6" t="inlineStr">
        <is>
          <t>Percentuais de presunção</t>
        </is>
      </c>
      <c r="C40" s="6" t="inlineStr">
        <is>
          <t>Prestação de serviços em geral: IRPJ 32,0%, CSLL 32,0%</t>
        </is>
      </c>
      <c r="D40" s="19" t="n">
        <v>0.32</v>
      </c>
      <c r="E40" s="6" t="inlineStr">
        <is>
          <t>Lei 9.249/1995, art. 15, §1º e art. 20</t>
        </is>
      </c>
    </row>
    <row r="41">
      <c r="A41" s="5" t="inlineStr">
        <is>
          <t>E2-LP</t>
        </is>
      </c>
      <c r="B41" s="6" t="inlineStr">
        <is>
          <t>1º tri - base presumida IRPJ</t>
        </is>
      </c>
      <c r="C41" s="6" t="inlineStr">
        <is>
          <t>R$ 150.000,00 x 32,0%</t>
        </is>
      </c>
      <c r="D41" s="7" t="n">
        <v>48000</v>
      </c>
      <c r="E41" s="6" t="inlineStr">
        <is>
          <t>Lei 9.249/1995, arts. 15 e 20</t>
        </is>
      </c>
    </row>
    <row r="42">
      <c r="A42" s="5" t="inlineStr">
        <is>
          <t>E2-LP</t>
        </is>
      </c>
      <c r="B42" s="6" t="inlineStr">
        <is>
          <t>1º tri - IRPJ</t>
        </is>
      </c>
      <c r="C42" s="6" t="inlineStr">
        <is>
          <t>R$ 48.000,00 x 15% + adicional 10% sobre o que exceder R$ 60.000,00</t>
        </is>
      </c>
      <c r="D42" s="7" t="n">
        <v>7200</v>
      </c>
      <c r="E42" s="6" t="inlineStr">
        <is>
          <t>Lei 9.430/1996, arts. 3º e 4º</t>
        </is>
      </c>
    </row>
    <row r="43">
      <c r="A43" s="5" t="inlineStr">
        <is>
          <t>E2-LP</t>
        </is>
      </c>
      <c r="B43" s="6" t="inlineStr">
        <is>
          <t>1º tri - base presumida CSLL</t>
        </is>
      </c>
      <c r="C43" s="6" t="inlineStr">
        <is>
          <t>R$ 150.000,00 x 32,0%</t>
        </is>
      </c>
      <c r="D43" s="7" t="n">
        <v>48000</v>
      </c>
      <c r="E43" s="6" t="inlineStr">
        <is>
          <t>Lei 9.249/1995, arts. 15 e 20</t>
        </is>
      </c>
    </row>
    <row r="44">
      <c r="A44" s="5" t="inlineStr">
        <is>
          <t>E2-LP</t>
        </is>
      </c>
      <c r="B44" s="6" t="inlineStr">
        <is>
          <t>1º tri - CSLL</t>
        </is>
      </c>
      <c r="C44" s="6" t="inlineStr">
        <is>
          <t>R$ 48.000,00 x 9%</t>
        </is>
      </c>
      <c r="D44" s="7" t="n">
        <v>4320</v>
      </c>
      <c r="E44" s="6" t="inlineStr">
        <is>
          <t>Lei 7.689/1988, art. 3º</t>
        </is>
      </c>
    </row>
    <row r="45">
      <c r="A45" s="5" t="inlineStr">
        <is>
          <t>E2-LP</t>
        </is>
      </c>
      <c r="B45" s="6" t="inlineStr">
        <is>
          <t>2º tri - base presumida IRPJ</t>
        </is>
      </c>
      <c r="C45" s="6" t="inlineStr">
        <is>
          <t>R$ 150.000,00 x 32,0%</t>
        </is>
      </c>
      <c r="D45" s="7" t="n">
        <v>48000</v>
      </c>
      <c r="E45" s="6" t="inlineStr">
        <is>
          <t>Lei 9.249/1995, arts. 15 e 20</t>
        </is>
      </c>
    </row>
    <row r="46">
      <c r="A46" s="5" t="inlineStr">
        <is>
          <t>E2-LP</t>
        </is>
      </c>
      <c r="B46" s="6" t="inlineStr">
        <is>
          <t>2º tri - IRPJ</t>
        </is>
      </c>
      <c r="C46" s="6" t="inlineStr">
        <is>
          <t>R$ 48.000,00 x 15% + adicional 10% sobre o que exceder R$ 60.000,00</t>
        </is>
      </c>
      <c r="D46" s="7" t="n">
        <v>7200</v>
      </c>
      <c r="E46" s="6" t="inlineStr">
        <is>
          <t>Lei 9.430/1996, arts. 3º e 4º</t>
        </is>
      </c>
    </row>
    <row r="47">
      <c r="A47" s="5" t="inlineStr">
        <is>
          <t>E2-LP</t>
        </is>
      </c>
      <c r="B47" s="6" t="inlineStr">
        <is>
          <t>2º tri - base presumida CSLL</t>
        </is>
      </c>
      <c r="C47" s="6" t="inlineStr">
        <is>
          <t>R$ 150.000,00 x 32,0%</t>
        </is>
      </c>
      <c r="D47" s="7" t="n">
        <v>48000</v>
      </c>
      <c r="E47" s="6" t="inlineStr">
        <is>
          <t>Lei 9.249/1995, arts. 15 e 20</t>
        </is>
      </c>
    </row>
    <row r="48">
      <c r="A48" s="5" t="inlineStr">
        <is>
          <t>E2-LP</t>
        </is>
      </c>
      <c r="B48" s="6" t="inlineStr">
        <is>
          <t>2º tri - CSLL</t>
        </is>
      </c>
      <c r="C48" s="6" t="inlineStr">
        <is>
          <t>R$ 48.000,00 x 9%</t>
        </is>
      </c>
      <c r="D48" s="7" t="n">
        <v>4320</v>
      </c>
      <c r="E48" s="6" t="inlineStr">
        <is>
          <t>Lei 7.689/1988, art. 3º</t>
        </is>
      </c>
    </row>
    <row r="49">
      <c r="A49" s="5" t="inlineStr">
        <is>
          <t>E2-LP</t>
        </is>
      </c>
      <c r="B49" s="6" t="inlineStr">
        <is>
          <t>3º tri - base presumida IRPJ</t>
        </is>
      </c>
      <c r="C49" s="6" t="inlineStr">
        <is>
          <t>R$ 150.000,00 x 32,0%</t>
        </is>
      </c>
      <c r="D49" s="7" t="n">
        <v>48000</v>
      </c>
      <c r="E49" s="6" t="inlineStr">
        <is>
          <t>Lei 9.249/1995, arts. 15 e 20</t>
        </is>
      </c>
    </row>
    <row r="50">
      <c r="A50" s="5" t="inlineStr">
        <is>
          <t>E2-LP</t>
        </is>
      </c>
      <c r="B50" s="6" t="inlineStr">
        <is>
          <t>3º tri - IRPJ</t>
        </is>
      </c>
      <c r="C50" s="6" t="inlineStr">
        <is>
          <t>R$ 48.000,00 x 15% + adicional 10% sobre o que exceder R$ 60.000,00</t>
        </is>
      </c>
      <c r="D50" s="7" t="n">
        <v>7200</v>
      </c>
      <c r="E50" s="6" t="inlineStr">
        <is>
          <t>Lei 9.430/1996, arts. 3º e 4º</t>
        </is>
      </c>
    </row>
    <row r="51">
      <c r="A51" s="5" t="inlineStr">
        <is>
          <t>E2-LP</t>
        </is>
      </c>
      <c r="B51" s="6" t="inlineStr">
        <is>
          <t>3º tri - base presumida CSLL</t>
        </is>
      </c>
      <c r="C51" s="6" t="inlineStr">
        <is>
          <t>R$ 150.000,00 x 32,0%</t>
        </is>
      </c>
      <c r="D51" s="7" t="n">
        <v>48000</v>
      </c>
      <c r="E51" s="6" t="inlineStr">
        <is>
          <t>Lei 9.249/1995, arts. 15 e 20</t>
        </is>
      </c>
    </row>
    <row r="52">
      <c r="A52" s="5" t="inlineStr">
        <is>
          <t>E2-LP</t>
        </is>
      </c>
      <c r="B52" s="6" t="inlineStr">
        <is>
          <t>3º tri - CSLL</t>
        </is>
      </c>
      <c r="C52" s="6" t="inlineStr">
        <is>
          <t>R$ 48.000,00 x 9%</t>
        </is>
      </c>
      <c r="D52" s="7" t="n">
        <v>4320</v>
      </c>
      <c r="E52" s="6" t="inlineStr">
        <is>
          <t>Lei 7.689/1988, art. 3º</t>
        </is>
      </c>
    </row>
    <row r="53">
      <c r="A53" s="5" t="inlineStr">
        <is>
          <t>E2-LP</t>
        </is>
      </c>
      <c r="B53" s="6" t="inlineStr">
        <is>
          <t>4º tri - base presumida IRPJ</t>
        </is>
      </c>
      <c r="C53" s="6" t="inlineStr">
        <is>
          <t>R$ 150.000,00 x 32,0%</t>
        </is>
      </c>
      <c r="D53" s="7" t="n">
        <v>48000</v>
      </c>
      <c r="E53" s="6" t="inlineStr">
        <is>
          <t>Lei 9.249/1995, arts. 15 e 20</t>
        </is>
      </c>
    </row>
    <row r="54">
      <c r="A54" s="5" t="inlineStr">
        <is>
          <t>E2-LP</t>
        </is>
      </c>
      <c r="B54" s="6" t="inlineStr">
        <is>
          <t>4º tri - IRPJ</t>
        </is>
      </c>
      <c r="C54" s="6" t="inlineStr">
        <is>
          <t>R$ 48.000,00 x 15% + adicional 10% sobre o que exceder R$ 60.000,00</t>
        </is>
      </c>
      <c r="D54" s="7" t="n">
        <v>7200</v>
      </c>
      <c r="E54" s="6" t="inlineStr">
        <is>
          <t>Lei 9.430/1996, arts. 3º e 4º</t>
        </is>
      </c>
    </row>
    <row r="55">
      <c r="A55" s="5" t="inlineStr">
        <is>
          <t>E2-LP</t>
        </is>
      </c>
      <c r="B55" s="6" t="inlineStr">
        <is>
          <t>4º tri - base presumida CSLL</t>
        </is>
      </c>
      <c r="C55" s="6" t="inlineStr">
        <is>
          <t>R$ 150.000,00 x 32,0%</t>
        </is>
      </c>
      <c r="D55" s="7" t="n">
        <v>48000</v>
      </c>
      <c r="E55" s="6" t="inlineStr">
        <is>
          <t>Lei 9.249/1995, arts. 15 e 20</t>
        </is>
      </c>
    </row>
    <row r="56">
      <c r="A56" s="5" t="inlineStr">
        <is>
          <t>E2-LP</t>
        </is>
      </c>
      <c r="B56" s="6" t="inlineStr">
        <is>
          <t>4º tri - CSLL</t>
        </is>
      </c>
      <c r="C56" s="6" t="inlineStr">
        <is>
          <t>R$ 48.000,00 x 9%</t>
        </is>
      </c>
      <c r="D56" s="7" t="n">
        <v>4320</v>
      </c>
      <c r="E56" s="6" t="inlineStr">
        <is>
          <t>Lei 7.689/1988, art. 3º</t>
        </is>
      </c>
    </row>
    <row r="57">
      <c r="A57" s="5" t="inlineStr">
        <is>
          <t>E2-LP</t>
        </is>
      </c>
      <c r="B57" s="6" t="inlineStr">
        <is>
          <t>PIS cumulativo</t>
        </is>
      </c>
      <c r="C57" s="6" t="inlineStr">
        <is>
          <t>R$ 600.000,00 x 0,65%</t>
        </is>
      </c>
      <c r="D57" s="7" t="n">
        <v>3900</v>
      </c>
      <c r="E57" s="6" t="inlineStr">
        <is>
          <t>Lei 9.715/1998</t>
        </is>
      </c>
    </row>
    <row r="58">
      <c r="A58" s="5" t="inlineStr">
        <is>
          <t>E2-LP</t>
        </is>
      </c>
      <c r="B58" s="6" t="inlineStr">
        <is>
          <t>Cofins cumulativa</t>
        </is>
      </c>
      <c r="C58" s="6" t="inlineStr">
        <is>
          <t>R$ 600.000,00 x 3,00%</t>
        </is>
      </c>
      <c r="D58" s="7" t="n">
        <v>18000</v>
      </c>
      <c r="E58" s="6" t="inlineStr">
        <is>
          <t>Lei 9.718/1998</t>
        </is>
      </c>
    </row>
    <row r="59">
      <c r="A59" s="5" t="inlineStr">
        <is>
          <t>E2-LP</t>
        </is>
      </c>
      <c r="B59" s="6" t="inlineStr">
        <is>
          <t>ISS</t>
        </is>
      </c>
      <c r="C59" s="6" t="inlineStr">
        <is>
          <t>R$ 600.000,00 x 5,00%</t>
        </is>
      </c>
      <c r="D59" s="7" t="n">
        <v>30000</v>
      </c>
      <c r="E59" s="6" t="inlineStr">
        <is>
          <t>LC 116/2003 e lei municipal</t>
        </is>
      </c>
    </row>
    <row r="60">
      <c r="A60" s="5" t="inlineStr">
        <is>
          <t>E2-LP</t>
        </is>
      </c>
      <c r="B60" s="6" t="inlineStr">
        <is>
          <t>INSS patronal sobre a folha CLT</t>
        </is>
      </c>
      <c r="C60" s="6" t="inlineStr">
        <is>
          <t>R$ 96.000,00 x (20,00% CPP + 2,00% RAT + 5,80% terceiros)</t>
        </is>
      </c>
      <c r="D60" s="7" t="n">
        <v>26688</v>
      </c>
      <c r="E60" s="6" t="inlineStr">
        <is>
          <t>Lei 8.212/1991, art. 22, I e II</t>
        </is>
      </c>
    </row>
    <row r="61">
      <c r="A61" s="5" t="inlineStr">
        <is>
          <t>E2-LP</t>
        </is>
      </c>
      <c r="B61" s="6" t="inlineStr">
        <is>
          <t>INSS patronal sobre o pró-labore</t>
        </is>
      </c>
      <c r="C61" s="6" t="inlineStr">
        <is>
          <t>R$ 72.000,00 x 20,00%</t>
        </is>
      </c>
      <c r="D61" s="7" t="n">
        <v>14400</v>
      </c>
      <c r="E61" s="6" t="inlineStr">
        <is>
          <t>Lei 8.212/1991, art. 22, III</t>
        </is>
      </c>
    </row>
    <row r="62">
      <c r="A62" s="5" t="inlineStr">
        <is>
          <t>E2-LR</t>
        </is>
      </c>
      <c r="B62" s="6" t="inlineStr">
        <is>
          <t>PIS - débito</t>
        </is>
      </c>
      <c r="C62" s="6" t="inlineStr">
        <is>
          <t>R$ 600.000,00 x 1,65%</t>
        </is>
      </c>
      <c r="D62" s="7" t="n">
        <v>9900</v>
      </c>
      <c r="E62" s="6" t="inlineStr">
        <is>
          <t>Lei 10.637/2002</t>
        </is>
      </c>
    </row>
    <row r="63">
      <c r="A63" s="5" t="inlineStr">
        <is>
          <t>E2-LR</t>
        </is>
      </c>
      <c r="B63" s="6" t="inlineStr">
        <is>
          <t>PIS - crédito</t>
        </is>
      </c>
      <c r="C63" s="6" t="inlineStr">
        <is>
          <t>(R$ 0,00 compras + R$ 0,00 despesas creditáveis) x 1,65%</t>
        </is>
      </c>
      <c r="D63" s="7" t="n">
        <v>0</v>
      </c>
      <c r="E63" s="6" t="inlineStr">
        <is>
          <t>Lei 10.637/2002, art. 3º</t>
        </is>
      </c>
    </row>
    <row r="64">
      <c r="A64" s="5" t="inlineStr">
        <is>
          <t>E2-LR</t>
        </is>
      </c>
      <c r="B64" s="6" t="inlineStr">
        <is>
          <t>Cofins - débito</t>
        </is>
      </c>
      <c r="C64" s="6" t="inlineStr">
        <is>
          <t>R$ 600.000,00 x 7,60%</t>
        </is>
      </c>
      <c r="D64" s="7" t="n">
        <v>45600</v>
      </c>
      <c r="E64" s="6" t="inlineStr">
        <is>
          <t>Lei 10.833/2003</t>
        </is>
      </c>
    </row>
    <row r="65">
      <c r="A65" s="5" t="inlineStr">
        <is>
          <t>E2-LR</t>
        </is>
      </c>
      <c r="B65" s="6" t="inlineStr">
        <is>
          <t>Cofins - crédito</t>
        </is>
      </c>
      <c r="C65" s="6" t="inlineStr">
        <is>
          <t>(R$ 0,00 compras + R$ 0,00 despesas creditáveis) x 7,60%</t>
        </is>
      </c>
      <c r="D65" s="7" t="n">
        <v>0</v>
      </c>
      <c r="E65" s="6" t="inlineStr">
        <is>
          <t>Lei 10.833/2003, art. 3º</t>
        </is>
      </c>
    </row>
    <row r="66">
      <c r="A66" s="5" t="inlineStr">
        <is>
          <t>E2-LR</t>
        </is>
      </c>
      <c r="B66" s="6" t="inlineStr">
        <is>
          <t>ISS</t>
        </is>
      </c>
      <c r="C66" s="6" t="inlineStr">
        <is>
          <t>R$ 600.000,00 x 5,00%</t>
        </is>
      </c>
      <c r="D66" s="7" t="n">
        <v>30000</v>
      </c>
      <c r="E66" s="6" t="inlineStr">
        <is>
          <t>LC 116/2003 e lei municipal</t>
        </is>
      </c>
    </row>
    <row r="67">
      <c r="A67" s="5" t="inlineStr">
        <is>
          <t>E2-LR</t>
        </is>
      </c>
      <c r="B67" s="6" t="inlineStr">
        <is>
          <t>INSS patronal sobre a folha CLT</t>
        </is>
      </c>
      <c r="C67" s="6" t="inlineStr">
        <is>
          <t>R$ 96.000,00 x (20,00% CPP + 2,00% RAT + 5,80% terceiros)</t>
        </is>
      </c>
      <c r="D67" s="7" t="n">
        <v>26688</v>
      </c>
      <c r="E67" s="6" t="inlineStr">
        <is>
          <t>Lei 8.212/1991, art. 22, I e II</t>
        </is>
      </c>
    </row>
    <row r="68">
      <c r="A68" s="5" t="inlineStr">
        <is>
          <t>E2-LR</t>
        </is>
      </c>
      <c r="B68" s="6" t="inlineStr">
        <is>
          <t>INSS patronal sobre o pró-labore</t>
        </is>
      </c>
      <c r="C68" s="6" t="inlineStr">
        <is>
          <t>R$ 72.000,00 x 20,00%</t>
        </is>
      </c>
      <c r="D68" s="7" t="n">
        <v>14400</v>
      </c>
      <c r="E68" s="6" t="inlineStr">
        <is>
          <t>Lei 8.212/1991, art. 22, III</t>
        </is>
      </c>
    </row>
    <row r="69">
      <c r="A69" s="5" t="inlineStr">
        <is>
          <t>E2-LR</t>
        </is>
      </c>
      <c r="B69" s="6" t="inlineStr">
        <is>
          <t>Lucro antes do IRPJ/CSLL</t>
        </is>
      </c>
      <c r="C69" s="6" t="inlineStr">
        <is>
          <t>R$ 600.000,00 receita - R$ 0,00 compras - R$ 0,00 despesas - R$ 168.000,00 folha e pró-labore - R$ 7.680,00 FGTS - R$ 126.588,00 tributos dedutíveis</t>
        </is>
      </c>
      <c r="D69" s="7" t="n">
        <v>297732</v>
      </c>
      <c r="E69" s="6" t="inlineStr">
        <is>
          <t>Lei 6.404/1976 (DRE)</t>
        </is>
      </c>
    </row>
    <row r="70">
      <c r="A70" s="5" t="inlineStr">
        <is>
          <t>E2-LR</t>
        </is>
      </c>
      <c r="B70" s="6" t="inlineStr">
        <is>
          <t>IRPJ</t>
        </is>
      </c>
      <c r="C70" s="6" t="inlineStr">
        <is>
          <t>R$ 297.732,00 x 15% + 10% sobre o que exceder R$ 240.000,00</t>
        </is>
      </c>
      <c r="D70" s="7" t="n">
        <v>50433</v>
      </c>
      <c r="E70" s="6" t="inlineStr">
        <is>
          <t>Lei 9.249/1995, art. 3º; Lei 9.430/1996, art. 2º</t>
        </is>
      </c>
    </row>
    <row r="71">
      <c r="A71" s="5" t="inlineStr">
        <is>
          <t>E2-LR</t>
        </is>
      </c>
      <c r="B71" s="6" t="inlineStr">
        <is>
          <t>CSLL</t>
        </is>
      </c>
      <c r="C71" s="6" t="inlineStr">
        <is>
          <t>R$ 297.732,00 x 9%</t>
        </is>
      </c>
      <c r="D71" s="7" t="n">
        <v>26795.88</v>
      </c>
      <c r="E71" s="6" t="inlineStr">
        <is>
          <t>Lei 7.689/1988, art. 3º</t>
        </is>
      </c>
    </row>
    <row r="72">
      <c r="A72" s="5" t="inlineStr">
        <is>
          <t>E3-SN</t>
        </is>
      </c>
      <c r="B72" s="6" t="inlineStr">
        <is>
          <t>Alíquota efetiva - Anexo I, 5ª faixa</t>
        </is>
      </c>
      <c r="C72" s="6" t="inlineStr">
        <is>
          <t>(R$ 2.000.000,00 x 14,30% - R$ 87.300,00) / R$ 2.000.000,00 = 9,9350%</t>
        </is>
      </c>
      <c r="D72" s="19" t="n">
        <v>0.09934999999999999</v>
      </c>
      <c r="E72" s="6" t="inlineStr">
        <is>
          <t>LC 123/2006, art. 18, §1º e §1º-A</t>
        </is>
      </c>
    </row>
    <row r="73">
      <c r="A73" s="5" t="inlineStr">
        <is>
          <t>E3-SN</t>
        </is>
      </c>
      <c r="B73" s="6" t="inlineStr">
        <is>
          <t>DAS anual</t>
        </is>
      </c>
      <c r="C73" s="6" t="inlineStr">
        <is>
          <t>R$ 2.000.000,00 x 9,9350%</t>
        </is>
      </c>
      <c r="D73" s="7" t="n">
        <v>198700</v>
      </c>
      <c r="E73" s="6" t="inlineStr">
        <is>
          <t>LC 123/2006, art. 13</t>
        </is>
      </c>
    </row>
    <row r="74">
      <c r="A74" s="5" t="inlineStr">
        <is>
          <t>E3-LP</t>
        </is>
      </c>
      <c r="B74" s="6" t="inlineStr">
        <is>
          <t>Percentuais de presunção</t>
        </is>
      </c>
      <c r="C74" s="6" t="inlineStr">
        <is>
          <t>Revenda de mercadorias: IRPJ 8,0%, CSLL 12,0%</t>
        </is>
      </c>
      <c r="D74" s="19" t="n">
        <v>0.08</v>
      </c>
      <c r="E74" s="6" t="inlineStr">
        <is>
          <t>Lei 9.249/1995, art. 15, §1º e art. 20</t>
        </is>
      </c>
    </row>
    <row r="75">
      <c r="A75" s="5" t="inlineStr">
        <is>
          <t>E3-LP</t>
        </is>
      </c>
      <c r="B75" s="6" t="inlineStr">
        <is>
          <t>1º tri - base presumida IRPJ</t>
        </is>
      </c>
      <c r="C75" s="6" t="inlineStr">
        <is>
          <t>R$ 500.000,00 x 8,0%</t>
        </is>
      </c>
      <c r="D75" s="7" t="n">
        <v>40000</v>
      </c>
      <c r="E75" s="6" t="inlineStr">
        <is>
          <t>Lei 9.249/1995, arts. 15 e 20</t>
        </is>
      </c>
    </row>
    <row r="76">
      <c r="A76" s="5" t="inlineStr">
        <is>
          <t>E3-LP</t>
        </is>
      </c>
      <c r="B76" s="6" t="inlineStr">
        <is>
          <t>1º tri - IRPJ</t>
        </is>
      </c>
      <c r="C76" s="6" t="inlineStr">
        <is>
          <t>R$ 40.000,00 x 15% + adicional 10% sobre o que exceder R$ 60.000,00</t>
        </is>
      </c>
      <c r="D76" s="7" t="n">
        <v>6000</v>
      </c>
      <c r="E76" s="6" t="inlineStr">
        <is>
          <t>Lei 9.430/1996, arts. 3º e 4º</t>
        </is>
      </c>
    </row>
    <row r="77">
      <c r="A77" s="5" t="inlineStr">
        <is>
          <t>E3-LP</t>
        </is>
      </c>
      <c r="B77" s="6" t="inlineStr">
        <is>
          <t>1º tri - base presumida CSLL</t>
        </is>
      </c>
      <c r="C77" s="6" t="inlineStr">
        <is>
          <t>R$ 500.000,00 x 12,0%</t>
        </is>
      </c>
      <c r="D77" s="7" t="n">
        <v>60000</v>
      </c>
      <c r="E77" s="6" t="inlineStr">
        <is>
          <t>Lei 9.249/1995, arts. 15 e 20</t>
        </is>
      </c>
    </row>
    <row r="78">
      <c r="A78" s="5" t="inlineStr">
        <is>
          <t>E3-LP</t>
        </is>
      </c>
      <c r="B78" s="6" t="inlineStr">
        <is>
          <t>1º tri - CSLL</t>
        </is>
      </c>
      <c r="C78" s="6" t="inlineStr">
        <is>
          <t>R$ 60.000,00 x 9%</t>
        </is>
      </c>
      <c r="D78" s="7" t="n">
        <v>5400</v>
      </c>
      <c r="E78" s="6" t="inlineStr">
        <is>
          <t>Lei 7.689/1988, art. 3º</t>
        </is>
      </c>
    </row>
    <row r="79">
      <c r="A79" s="5" t="inlineStr">
        <is>
          <t>E3-LP</t>
        </is>
      </c>
      <c r="B79" s="6" t="inlineStr">
        <is>
          <t>2º tri - base presumida IRPJ</t>
        </is>
      </c>
      <c r="C79" s="6" t="inlineStr">
        <is>
          <t>R$ 500.000,00 x 8,0%</t>
        </is>
      </c>
      <c r="D79" s="7" t="n">
        <v>40000</v>
      </c>
      <c r="E79" s="6" t="inlineStr">
        <is>
          <t>Lei 9.249/1995, arts. 15 e 20</t>
        </is>
      </c>
    </row>
    <row r="80">
      <c r="A80" s="5" t="inlineStr">
        <is>
          <t>E3-LP</t>
        </is>
      </c>
      <c r="B80" s="6" t="inlineStr">
        <is>
          <t>2º tri - IRPJ</t>
        </is>
      </c>
      <c r="C80" s="6" t="inlineStr">
        <is>
          <t>R$ 40.000,00 x 15% + adicional 10% sobre o que exceder R$ 60.000,00</t>
        </is>
      </c>
      <c r="D80" s="7" t="n">
        <v>6000</v>
      </c>
      <c r="E80" s="6" t="inlineStr">
        <is>
          <t>Lei 9.430/1996, arts. 3º e 4º</t>
        </is>
      </c>
    </row>
    <row r="81">
      <c r="A81" s="5" t="inlineStr">
        <is>
          <t>E3-LP</t>
        </is>
      </c>
      <c r="B81" s="6" t="inlineStr">
        <is>
          <t>2º tri - base presumida CSLL</t>
        </is>
      </c>
      <c r="C81" s="6" t="inlineStr">
        <is>
          <t>R$ 500.000,00 x 12,0%</t>
        </is>
      </c>
      <c r="D81" s="7" t="n">
        <v>60000</v>
      </c>
      <c r="E81" s="6" t="inlineStr">
        <is>
          <t>Lei 9.249/1995, arts. 15 e 20</t>
        </is>
      </c>
    </row>
    <row r="82">
      <c r="A82" s="5" t="inlineStr">
        <is>
          <t>E3-LP</t>
        </is>
      </c>
      <c r="B82" s="6" t="inlineStr">
        <is>
          <t>2º tri - CSLL</t>
        </is>
      </c>
      <c r="C82" s="6" t="inlineStr">
        <is>
          <t>R$ 60.000,00 x 9%</t>
        </is>
      </c>
      <c r="D82" s="7" t="n">
        <v>5400</v>
      </c>
      <c r="E82" s="6" t="inlineStr">
        <is>
          <t>Lei 7.689/1988, art. 3º</t>
        </is>
      </c>
    </row>
    <row r="83">
      <c r="A83" s="5" t="inlineStr">
        <is>
          <t>E3-LP</t>
        </is>
      </c>
      <c r="B83" s="6" t="inlineStr">
        <is>
          <t>3º tri - base presumida IRPJ</t>
        </is>
      </c>
      <c r="C83" s="6" t="inlineStr">
        <is>
          <t>R$ 500.000,00 x 8,0%</t>
        </is>
      </c>
      <c r="D83" s="7" t="n">
        <v>40000</v>
      </c>
      <c r="E83" s="6" t="inlineStr">
        <is>
          <t>Lei 9.249/1995, arts. 15 e 20</t>
        </is>
      </c>
    </row>
    <row r="84">
      <c r="A84" s="5" t="inlineStr">
        <is>
          <t>E3-LP</t>
        </is>
      </c>
      <c r="B84" s="6" t="inlineStr">
        <is>
          <t>3º tri - IRPJ</t>
        </is>
      </c>
      <c r="C84" s="6" t="inlineStr">
        <is>
          <t>R$ 40.000,00 x 15% + adicional 10% sobre o que exceder R$ 60.000,00</t>
        </is>
      </c>
      <c r="D84" s="7" t="n">
        <v>6000</v>
      </c>
      <c r="E84" s="6" t="inlineStr">
        <is>
          <t>Lei 9.430/1996, arts. 3º e 4º</t>
        </is>
      </c>
    </row>
    <row r="85">
      <c r="A85" s="5" t="inlineStr">
        <is>
          <t>E3-LP</t>
        </is>
      </c>
      <c r="B85" s="6" t="inlineStr">
        <is>
          <t>3º tri - base presumida CSLL</t>
        </is>
      </c>
      <c r="C85" s="6" t="inlineStr">
        <is>
          <t>R$ 500.000,00 x 12,0%</t>
        </is>
      </c>
      <c r="D85" s="7" t="n">
        <v>60000</v>
      </c>
      <c r="E85" s="6" t="inlineStr">
        <is>
          <t>Lei 9.249/1995, arts. 15 e 20</t>
        </is>
      </c>
    </row>
    <row r="86">
      <c r="A86" s="5" t="inlineStr">
        <is>
          <t>E3-LP</t>
        </is>
      </c>
      <c r="B86" s="6" t="inlineStr">
        <is>
          <t>3º tri - CSLL</t>
        </is>
      </c>
      <c r="C86" s="6" t="inlineStr">
        <is>
          <t>R$ 60.000,00 x 9%</t>
        </is>
      </c>
      <c r="D86" s="7" t="n">
        <v>5400</v>
      </c>
      <c r="E86" s="6" t="inlineStr">
        <is>
          <t>Lei 7.689/1988, art. 3º</t>
        </is>
      </c>
    </row>
    <row r="87">
      <c r="A87" s="5" t="inlineStr">
        <is>
          <t>E3-LP</t>
        </is>
      </c>
      <c r="B87" s="6" t="inlineStr">
        <is>
          <t>4º tri - base presumida IRPJ</t>
        </is>
      </c>
      <c r="C87" s="6" t="inlineStr">
        <is>
          <t>R$ 500.000,00 x 8,0%</t>
        </is>
      </c>
      <c r="D87" s="7" t="n">
        <v>40000</v>
      </c>
      <c r="E87" s="6" t="inlineStr">
        <is>
          <t>Lei 9.249/1995, arts. 15 e 20</t>
        </is>
      </c>
    </row>
    <row r="88">
      <c r="A88" s="5" t="inlineStr">
        <is>
          <t>E3-LP</t>
        </is>
      </c>
      <c r="B88" s="6" t="inlineStr">
        <is>
          <t>4º tri - IRPJ</t>
        </is>
      </c>
      <c r="C88" s="6" t="inlineStr">
        <is>
          <t>R$ 40.000,00 x 15% + adicional 10% sobre o que exceder R$ 60.000,00</t>
        </is>
      </c>
      <c r="D88" s="7" t="n">
        <v>6000</v>
      </c>
      <c r="E88" s="6" t="inlineStr">
        <is>
          <t>Lei 9.430/1996, arts. 3º e 4º</t>
        </is>
      </c>
    </row>
    <row r="89">
      <c r="A89" s="5" t="inlineStr">
        <is>
          <t>E3-LP</t>
        </is>
      </c>
      <c r="B89" s="6" t="inlineStr">
        <is>
          <t>4º tri - base presumida CSLL</t>
        </is>
      </c>
      <c r="C89" s="6" t="inlineStr">
        <is>
          <t>R$ 500.000,00 x 12,0%</t>
        </is>
      </c>
      <c r="D89" s="7" t="n">
        <v>60000</v>
      </c>
      <c r="E89" s="6" t="inlineStr">
        <is>
          <t>Lei 9.249/1995, arts. 15 e 20</t>
        </is>
      </c>
    </row>
    <row r="90">
      <c r="A90" s="5" t="inlineStr">
        <is>
          <t>E3-LP</t>
        </is>
      </c>
      <c r="B90" s="6" t="inlineStr">
        <is>
          <t>4º tri - CSLL</t>
        </is>
      </c>
      <c r="C90" s="6" t="inlineStr">
        <is>
          <t>R$ 60.000,00 x 9%</t>
        </is>
      </c>
      <c r="D90" s="7" t="n">
        <v>5400</v>
      </c>
      <c r="E90" s="6" t="inlineStr">
        <is>
          <t>Lei 7.689/1988, art. 3º</t>
        </is>
      </c>
    </row>
    <row r="91">
      <c r="A91" s="5" t="inlineStr">
        <is>
          <t>E3-LP</t>
        </is>
      </c>
      <c r="B91" s="6" t="inlineStr">
        <is>
          <t>PIS cumulativo</t>
        </is>
      </c>
      <c r="C91" s="6" t="inlineStr">
        <is>
          <t>R$ 2.000.000,00 x 0,65%</t>
        </is>
      </c>
      <c r="D91" s="7" t="n">
        <v>13000</v>
      </c>
      <c r="E91" s="6" t="inlineStr">
        <is>
          <t>Lei 9.715/1998</t>
        </is>
      </c>
    </row>
    <row r="92">
      <c r="A92" s="5" t="inlineStr">
        <is>
          <t>E3-LP</t>
        </is>
      </c>
      <c r="B92" s="6" t="inlineStr">
        <is>
          <t>Cofins cumulativa</t>
        </is>
      </c>
      <c r="C92" s="6" t="inlineStr">
        <is>
          <t>R$ 2.000.000,00 x 3,00%</t>
        </is>
      </c>
      <c r="D92" s="7" t="n">
        <v>60000</v>
      </c>
      <c r="E92" s="6" t="inlineStr">
        <is>
          <t>Lei 9.718/1998</t>
        </is>
      </c>
    </row>
    <row r="93">
      <c r="A93" s="5" t="inlineStr">
        <is>
          <t>E3-LP</t>
        </is>
      </c>
      <c r="B93" s="6" t="inlineStr">
        <is>
          <t>ICMS - débito nas vendas</t>
        </is>
      </c>
      <c r="C93" s="6" t="inlineStr">
        <is>
          <t>R$ 2.000.000,00 x 18,00%</t>
        </is>
      </c>
      <c r="D93" s="7" t="n">
        <v>360000</v>
      </c>
      <c r="E93" s="6" t="inlineStr">
        <is>
          <t>LC 87/1996 e legislação estadual</t>
        </is>
      </c>
    </row>
    <row r="94">
      <c r="A94" s="5" t="inlineStr">
        <is>
          <t>E3-LP</t>
        </is>
      </c>
      <c r="B94" s="6" t="inlineStr">
        <is>
          <t>ICMS - crédito nas compras</t>
        </is>
      </c>
      <c r="C94" s="6" t="inlineStr">
        <is>
          <t>R$ 1.200.000,00 x 18,00%</t>
        </is>
      </c>
      <c r="D94" s="7" t="n">
        <v>216000</v>
      </c>
      <c r="E94" s="6" t="inlineStr">
        <is>
          <t>LC 87/1996, art. 20 (não cumulatividade)</t>
        </is>
      </c>
    </row>
    <row r="95">
      <c r="A95" s="5" t="inlineStr">
        <is>
          <t>E3-LP</t>
        </is>
      </c>
      <c r="B95" s="6" t="inlineStr">
        <is>
          <t>ICMS a recolher</t>
        </is>
      </c>
      <c r="C95" s="6" t="inlineStr">
        <is>
          <t>máx(0; débito - crédito)</t>
        </is>
      </c>
      <c r="D95" s="7" t="n">
        <v>144000</v>
      </c>
      <c r="E95" s="6" t="inlineStr"/>
    </row>
    <row r="96">
      <c r="A96" s="5" t="inlineStr">
        <is>
          <t>E3-LP</t>
        </is>
      </c>
      <c r="B96" s="6" t="inlineStr">
        <is>
          <t>INSS patronal sobre a folha CLT</t>
        </is>
      </c>
      <c r="C96" s="6" t="inlineStr">
        <is>
          <t>R$ 240.000,00 x (20,00% CPP + 2,00% RAT + 5,80% terceiros)</t>
        </is>
      </c>
      <c r="D96" s="7" t="n">
        <v>66720</v>
      </c>
      <c r="E96" s="6" t="inlineStr">
        <is>
          <t>Lei 8.212/1991, art. 22, I e II</t>
        </is>
      </c>
    </row>
    <row r="97">
      <c r="A97" s="5" t="inlineStr">
        <is>
          <t>E3-LP</t>
        </is>
      </c>
      <c r="B97" s="6" t="inlineStr">
        <is>
          <t>INSS patronal sobre o pró-labore</t>
        </is>
      </c>
      <c r="C97" s="6" t="inlineStr">
        <is>
          <t>R$ 36.000,00 x 20,00%</t>
        </is>
      </c>
      <c r="D97" s="7" t="n">
        <v>7200</v>
      </c>
      <c r="E97" s="6" t="inlineStr">
        <is>
          <t>Lei 8.212/1991, art. 22, III</t>
        </is>
      </c>
    </row>
    <row r="98">
      <c r="A98" s="5" t="inlineStr">
        <is>
          <t>E3-LR</t>
        </is>
      </c>
      <c r="B98" s="6" t="inlineStr">
        <is>
          <t>PIS - débito</t>
        </is>
      </c>
      <c r="C98" s="6" t="inlineStr">
        <is>
          <t>R$ 2.000.000,00 x 1,65%</t>
        </is>
      </c>
      <c r="D98" s="7" t="n">
        <v>33000</v>
      </c>
      <c r="E98" s="6" t="inlineStr">
        <is>
          <t>Lei 10.637/2002</t>
        </is>
      </c>
    </row>
    <row r="99">
      <c r="A99" s="5" t="inlineStr">
        <is>
          <t>E3-LR</t>
        </is>
      </c>
      <c r="B99" s="6" t="inlineStr">
        <is>
          <t>PIS - crédito</t>
        </is>
      </c>
      <c r="C99" s="6" t="inlineStr">
        <is>
          <t>(R$ 1.200.000,00 compras + R$ 80.000,00 despesas creditáveis) x 1,65%</t>
        </is>
      </c>
      <c r="D99" s="7" t="n">
        <v>21120</v>
      </c>
      <c r="E99" s="6" t="inlineStr">
        <is>
          <t>Lei 10.637/2002, art. 3º</t>
        </is>
      </c>
    </row>
    <row r="100">
      <c r="A100" s="5" t="inlineStr">
        <is>
          <t>E3-LR</t>
        </is>
      </c>
      <c r="B100" s="6" t="inlineStr">
        <is>
          <t>Cofins - débito</t>
        </is>
      </c>
      <c r="C100" s="6" t="inlineStr">
        <is>
          <t>R$ 2.000.000,00 x 7,60%</t>
        </is>
      </c>
      <c r="D100" s="7" t="n">
        <v>152000</v>
      </c>
      <c r="E100" s="6" t="inlineStr">
        <is>
          <t>Lei 10.833/2003</t>
        </is>
      </c>
    </row>
    <row r="101">
      <c r="A101" s="5" t="inlineStr">
        <is>
          <t>E3-LR</t>
        </is>
      </c>
      <c r="B101" s="6" t="inlineStr">
        <is>
          <t>Cofins - crédito</t>
        </is>
      </c>
      <c r="C101" s="6" t="inlineStr">
        <is>
          <t>(R$ 1.200.000,00 compras + R$ 80.000,00 despesas creditáveis) x 7,60%</t>
        </is>
      </c>
      <c r="D101" s="7" t="n">
        <v>97280</v>
      </c>
      <c r="E101" s="6" t="inlineStr">
        <is>
          <t>Lei 10.833/2003, art. 3º</t>
        </is>
      </c>
    </row>
    <row r="102">
      <c r="A102" s="5" t="inlineStr">
        <is>
          <t>E3-LR</t>
        </is>
      </c>
      <c r="B102" s="6" t="inlineStr">
        <is>
          <t>ICMS - débito nas vendas</t>
        </is>
      </c>
      <c r="C102" s="6" t="inlineStr">
        <is>
          <t>R$ 2.000.000,00 x 18,00%</t>
        </is>
      </c>
      <c r="D102" s="7" t="n">
        <v>360000</v>
      </c>
      <c r="E102" s="6" t="inlineStr">
        <is>
          <t>LC 87/1996 e legislação estadual</t>
        </is>
      </c>
    </row>
    <row r="103">
      <c r="A103" s="5" t="inlineStr">
        <is>
          <t>E3-LR</t>
        </is>
      </c>
      <c r="B103" s="6" t="inlineStr">
        <is>
          <t>ICMS - crédito nas compras</t>
        </is>
      </c>
      <c r="C103" s="6" t="inlineStr">
        <is>
          <t>R$ 1.200.000,00 x 18,00%</t>
        </is>
      </c>
      <c r="D103" s="7" t="n">
        <v>216000</v>
      </c>
      <c r="E103" s="6" t="inlineStr">
        <is>
          <t>LC 87/1996, art. 20 (não cumulatividade)</t>
        </is>
      </c>
    </row>
    <row r="104">
      <c r="A104" s="5" t="inlineStr">
        <is>
          <t>E3-LR</t>
        </is>
      </c>
      <c r="B104" s="6" t="inlineStr">
        <is>
          <t>ICMS a recolher</t>
        </is>
      </c>
      <c r="C104" s="6" t="inlineStr">
        <is>
          <t>máx(0; débito - crédito)</t>
        </is>
      </c>
      <c r="D104" s="7" t="n">
        <v>144000</v>
      </c>
      <c r="E104" s="6" t="inlineStr"/>
    </row>
    <row r="105">
      <c r="A105" s="5" t="inlineStr">
        <is>
          <t>E3-LR</t>
        </is>
      </c>
      <c r="B105" s="6" t="inlineStr">
        <is>
          <t>INSS patronal sobre a folha CLT</t>
        </is>
      </c>
      <c r="C105" s="6" t="inlineStr">
        <is>
          <t>R$ 240.000,00 x (20,00% CPP + 2,00% RAT + 5,80% terceiros)</t>
        </is>
      </c>
      <c r="D105" s="7" t="n">
        <v>66720</v>
      </c>
      <c r="E105" s="6" t="inlineStr">
        <is>
          <t>Lei 8.212/1991, art. 22, I e II</t>
        </is>
      </c>
    </row>
    <row r="106">
      <c r="A106" s="5" t="inlineStr">
        <is>
          <t>E3-LR</t>
        </is>
      </c>
      <c r="B106" s="6" t="inlineStr">
        <is>
          <t>INSS patronal sobre o pró-labore</t>
        </is>
      </c>
      <c r="C106" s="6" t="inlineStr">
        <is>
          <t>R$ 36.000,00 x 20,00%</t>
        </is>
      </c>
      <c r="D106" s="7" t="n">
        <v>7200</v>
      </c>
      <c r="E106" s="6" t="inlineStr">
        <is>
          <t>Lei 8.212/1991, art. 22, III</t>
        </is>
      </c>
    </row>
    <row r="107">
      <c r="A107" s="5" t="inlineStr">
        <is>
          <t>E3-LR</t>
        </is>
      </c>
      <c r="B107" s="6" t="inlineStr">
        <is>
          <t>Lucro antes do IRPJ/CSLL</t>
        </is>
      </c>
      <c r="C107" s="6" t="inlineStr">
        <is>
          <t>R$ 2.000.000,00 receita - R$ 1.200.000,00 compras - R$ 230.000,00 despesas - R$ 276.000,00 folha e pró-labore - R$ 19.200,00 FGTS - R$ 284.520,00 tributos dedutíveis</t>
        </is>
      </c>
      <c r="D107" s="7" t="n">
        <v>-9720</v>
      </c>
      <c r="E107" s="6" t="inlineStr">
        <is>
          <t>Lei 6.404/1976 (DRE)</t>
        </is>
      </c>
    </row>
    <row r="108">
      <c r="A108" s="5" t="inlineStr">
        <is>
          <t>E3-LR</t>
        </is>
      </c>
      <c r="B108" s="6" t="inlineStr">
        <is>
          <t>IRPJ</t>
        </is>
      </c>
      <c r="C108" s="6" t="inlineStr">
        <is>
          <t>R$ 0,00 x 15% + 10% sobre o que exceder R$ 240.000,00</t>
        </is>
      </c>
      <c r="D108" s="7" t="n">
        <v>0</v>
      </c>
      <c r="E108" s="6" t="inlineStr">
        <is>
          <t>Lei 9.249/1995, art. 3º; Lei 9.430/1996, art. 2º</t>
        </is>
      </c>
    </row>
    <row r="109">
      <c r="A109" s="5" t="inlineStr">
        <is>
          <t>E3-LR</t>
        </is>
      </c>
      <c r="B109" s="6" t="inlineStr">
        <is>
          <t>CSLL</t>
        </is>
      </c>
      <c r="C109" s="6" t="inlineStr">
        <is>
          <t>R$ 0,00 x 9%</t>
        </is>
      </c>
      <c r="D109" s="7" t="n">
        <v>0</v>
      </c>
      <c r="E109" s="6" t="inlineStr">
        <is>
          <t>Lei 7.689/1988, art. 3º</t>
        </is>
      </c>
    </row>
    <row r="110">
      <c r="A110" s="5" t="inlineStr">
        <is>
          <t>E4-SN</t>
        </is>
      </c>
      <c r="B110" s="6" t="inlineStr">
        <is>
          <t>Alíquota efetiva - Anexo II, 5ª faixa</t>
        </is>
      </c>
      <c r="C110" s="6" t="inlineStr">
        <is>
          <t>(R$ 3.000.000,00 x 14,70% - R$ 85.500,00) / R$ 3.000.000,00 = 11,8500%</t>
        </is>
      </c>
      <c r="D110" s="19" t="n">
        <v>0.1185</v>
      </c>
      <c r="E110" s="6" t="inlineStr">
        <is>
          <t>LC 123/2006, art. 18, §1º e §1º-A</t>
        </is>
      </c>
    </row>
    <row r="111">
      <c r="A111" s="5" t="inlineStr">
        <is>
          <t>E4-SN</t>
        </is>
      </c>
      <c r="B111" s="6" t="inlineStr">
        <is>
          <t>DAS anual</t>
        </is>
      </c>
      <c r="C111" s="6" t="inlineStr">
        <is>
          <t>R$ 3.000.000,00 x 11,8500%</t>
        </is>
      </c>
      <c r="D111" s="7" t="n">
        <v>355500</v>
      </c>
      <c r="E111" s="6" t="inlineStr">
        <is>
          <t>LC 123/2006, art. 13</t>
        </is>
      </c>
    </row>
    <row r="112">
      <c r="A112" s="5" t="inlineStr">
        <is>
          <t>E4-LP</t>
        </is>
      </c>
      <c r="B112" s="6" t="inlineStr">
        <is>
          <t>Percentuais de presunção</t>
        </is>
      </c>
      <c r="C112" s="6" t="inlineStr">
        <is>
          <t>Venda de produção própria: IRPJ 8,0%, CSLL 12,0%</t>
        </is>
      </c>
      <c r="D112" s="19" t="n">
        <v>0.08</v>
      </c>
      <c r="E112" s="6" t="inlineStr">
        <is>
          <t>Lei 9.249/1995, art. 15, §1º e art. 20</t>
        </is>
      </c>
    </row>
    <row r="113">
      <c r="A113" s="5" t="inlineStr">
        <is>
          <t>E4-LP</t>
        </is>
      </c>
      <c r="B113" s="6" t="inlineStr">
        <is>
          <t>1º tri - base presumida IRPJ</t>
        </is>
      </c>
      <c r="C113" s="6" t="inlineStr">
        <is>
          <t>R$ 750.000,00 x 8,0%</t>
        </is>
      </c>
      <c r="D113" s="7" t="n">
        <v>60000</v>
      </c>
      <c r="E113" s="6" t="inlineStr">
        <is>
          <t>Lei 9.249/1995, arts. 15 e 20</t>
        </is>
      </c>
    </row>
    <row r="114">
      <c r="A114" s="5" t="inlineStr">
        <is>
          <t>E4-LP</t>
        </is>
      </c>
      <c r="B114" s="6" t="inlineStr">
        <is>
          <t>1º tri - IRPJ</t>
        </is>
      </c>
      <c r="C114" s="6" t="inlineStr">
        <is>
          <t>R$ 60.000,00 x 15% + adicional 10% sobre o que exceder R$ 60.000,00</t>
        </is>
      </c>
      <c r="D114" s="7" t="n">
        <v>9000</v>
      </c>
      <c r="E114" s="6" t="inlineStr">
        <is>
          <t>Lei 9.430/1996, arts. 3º e 4º</t>
        </is>
      </c>
    </row>
    <row r="115">
      <c r="A115" s="5" t="inlineStr">
        <is>
          <t>E4-LP</t>
        </is>
      </c>
      <c r="B115" s="6" t="inlineStr">
        <is>
          <t>1º tri - base presumida CSLL</t>
        </is>
      </c>
      <c r="C115" s="6" t="inlineStr">
        <is>
          <t>R$ 750.000,00 x 12,0%</t>
        </is>
      </c>
      <c r="D115" s="7" t="n">
        <v>90000</v>
      </c>
      <c r="E115" s="6" t="inlineStr">
        <is>
          <t>Lei 9.249/1995, arts. 15 e 20</t>
        </is>
      </c>
    </row>
    <row r="116">
      <c r="A116" s="5" t="inlineStr">
        <is>
          <t>E4-LP</t>
        </is>
      </c>
      <c r="B116" s="6" t="inlineStr">
        <is>
          <t>1º tri - CSLL</t>
        </is>
      </c>
      <c r="C116" s="6" t="inlineStr">
        <is>
          <t>R$ 90.000,00 x 9%</t>
        </is>
      </c>
      <c r="D116" s="7" t="n">
        <v>8100</v>
      </c>
      <c r="E116" s="6" t="inlineStr">
        <is>
          <t>Lei 7.689/1988, art. 3º</t>
        </is>
      </c>
    </row>
    <row r="117">
      <c r="A117" s="5" t="inlineStr">
        <is>
          <t>E4-LP</t>
        </is>
      </c>
      <c r="B117" s="6" t="inlineStr">
        <is>
          <t>2º tri - base presumida IRPJ</t>
        </is>
      </c>
      <c r="C117" s="6" t="inlineStr">
        <is>
          <t>R$ 750.000,00 x 8,0%</t>
        </is>
      </c>
      <c r="D117" s="7" t="n">
        <v>60000</v>
      </c>
      <c r="E117" s="6" t="inlineStr">
        <is>
          <t>Lei 9.249/1995, arts. 15 e 20</t>
        </is>
      </c>
    </row>
    <row r="118">
      <c r="A118" s="5" t="inlineStr">
        <is>
          <t>E4-LP</t>
        </is>
      </c>
      <c r="B118" s="6" t="inlineStr">
        <is>
          <t>2º tri - IRPJ</t>
        </is>
      </c>
      <c r="C118" s="6" t="inlineStr">
        <is>
          <t>R$ 60.000,00 x 15% + adicional 10% sobre o que exceder R$ 60.000,00</t>
        </is>
      </c>
      <c r="D118" s="7" t="n">
        <v>9000</v>
      </c>
      <c r="E118" s="6" t="inlineStr">
        <is>
          <t>Lei 9.430/1996, arts. 3º e 4º</t>
        </is>
      </c>
    </row>
    <row r="119">
      <c r="A119" s="5" t="inlineStr">
        <is>
          <t>E4-LP</t>
        </is>
      </c>
      <c r="B119" s="6" t="inlineStr">
        <is>
          <t>2º tri - base presumida CSLL</t>
        </is>
      </c>
      <c r="C119" s="6" t="inlineStr">
        <is>
          <t>R$ 750.000,00 x 12,0%</t>
        </is>
      </c>
      <c r="D119" s="7" t="n">
        <v>90000</v>
      </c>
      <c r="E119" s="6" t="inlineStr">
        <is>
          <t>Lei 9.249/1995, arts. 15 e 20</t>
        </is>
      </c>
    </row>
    <row r="120">
      <c r="A120" s="5" t="inlineStr">
        <is>
          <t>E4-LP</t>
        </is>
      </c>
      <c r="B120" s="6" t="inlineStr">
        <is>
          <t>2º tri - CSLL</t>
        </is>
      </c>
      <c r="C120" s="6" t="inlineStr">
        <is>
          <t>R$ 90.000,00 x 9%</t>
        </is>
      </c>
      <c r="D120" s="7" t="n">
        <v>8100</v>
      </c>
      <c r="E120" s="6" t="inlineStr">
        <is>
          <t>Lei 7.689/1988, art. 3º</t>
        </is>
      </c>
    </row>
    <row r="121">
      <c r="A121" s="5" t="inlineStr">
        <is>
          <t>E4-LP</t>
        </is>
      </c>
      <c r="B121" s="6" t="inlineStr">
        <is>
          <t>3º tri - base presumida IRPJ</t>
        </is>
      </c>
      <c r="C121" s="6" t="inlineStr">
        <is>
          <t>R$ 750.000,00 x 8,0%</t>
        </is>
      </c>
      <c r="D121" s="7" t="n">
        <v>60000</v>
      </c>
      <c r="E121" s="6" t="inlineStr">
        <is>
          <t>Lei 9.249/1995, arts. 15 e 20</t>
        </is>
      </c>
    </row>
    <row r="122">
      <c r="A122" s="5" t="inlineStr">
        <is>
          <t>E4-LP</t>
        </is>
      </c>
      <c r="B122" s="6" t="inlineStr">
        <is>
          <t>3º tri - IRPJ</t>
        </is>
      </c>
      <c r="C122" s="6" t="inlineStr">
        <is>
          <t>R$ 60.000,00 x 15% + adicional 10% sobre o que exceder R$ 60.000,00</t>
        </is>
      </c>
      <c r="D122" s="7" t="n">
        <v>9000</v>
      </c>
      <c r="E122" s="6" t="inlineStr">
        <is>
          <t>Lei 9.430/1996, arts. 3º e 4º</t>
        </is>
      </c>
    </row>
    <row r="123">
      <c r="A123" s="5" t="inlineStr">
        <is>
          <t>E4-LP</t>
        </is>
      </c>
      <c r="B123" s="6" t="inlineStr">
        <is>
          <t>3º tri - base presumida CSLL</t>
        </is>
      </c>
      <c r="C123" s="6" t="inlineStr">
        <is>
          <t>R$ 750.000,00 x 12,0%</t>
        </is>
      </c>
      <c r="D123" s="7" t="n">
        <v>90000</v>
      </c>
      <c r="E123" s="6" t="inlineStr">
        <is>
          <t>Lei 9.249/1995, arts. 15 e 20</t>
        </is>
      </c>
    </row>
    <row r="124">
      <c r="A124" s="5" t="inlineStr">
        <is>
          <t>E4-LP</t>
        </is>
      </c>
      <c r="B124" s="6" t="inlineStr">
        <is>
          <t>3º tri - CSLL</t>
        </is>
      </c>
      <c r="C124" s="6" t="inlineStr">
        <is>
          <t>R$ 90.000,00 x 9%</t>
        </is>
      </c>
      <c r="D124" s="7" t="n">
        <v>8100</v>
      </c>
      <c r="E124" s="6" t="inlineStr">
        <is>
          <t>Lei 7.689/1988, art. 3º</t>
        </is>
      </c>
    </row>
    <row r="125">
      <c r="A125" s="5" t="inlineStr">
        <is>
          <t>E4-LP</t>
        </is>
      </c>
      <c r="B125" s="6" t="inlineStr">
        <is>
          <t>4º tri - base presumida IRPJ</t>
        </is>
      </c>
      <c r="C125" s="6" t="inlineStr">
        <is>
          <t>R$ 750.000,00 x 8,0%</t>
        </is>
      </c>
      <c r="D125" s="7" t="n">
        <v>60000</v>
      </c>
      <c r="E125" s="6" t="inlineStr">
        <is>
          <t>Lei 9.249/1995, arts. 15 e 20</t>
        </is>
      </c>
    </row>
    <row r="126">
      <c r="A126" s="5" t="inlineStr">
        <is>
          <t>E4-LP</t>
        </is>
      </c>
      <c r="B126" s="6" t="inlineStr">
        <is>
          <t>4º tri - IRPJ</t>
        </is>
      </c>
      <c r="C126" s="6" t="inlineStr">
        <is>
          <t>R$ 60.000,00 x 15% + adicional 10% sobre o que exceder R$ 60.000,00</t>
        </is>
      </c>
      <c r="D126" s="7" t="n">
        <v>9000</v>
      </c>
      <c r="E126" s="6" t="inlineStr">
        <is>
          <t>Lei 9.430/1996, arts. 3º e 4º</t>
        </is>
      </c>
    </row>
    <row r="127">
      <c r="A127" s="5" t="inlineStr">
        <is>
          <t>E4-LP</t>
        </is>
      </c>
      <c r="B127" s="6" t="inlineStr">
        <is>
          <t>4º tri - base presumida CSLL</t>
        </is>
      </c>
      <c r="C127" s="6" t="inlineStr">
        <is>
          <t>R$ 750.000,00 x 12,0%</t>
        </is>
      </c>
      <c r="D127" s="7" t="n">
        <v>90000</v>
      </c>
      <c r="E127" s="6" t="inlineStr">
        <is>
          <t>Lei 9.249/1995, arts. 15 e 20</t>
        </is>
      </c>
    </row>
    <row r="128">
      <c r="A128" s="5" t="inlineStr">
        <is>
          <t>E4-LP</t>
        </is>
      </c>
      <c r="B128" s="6" t="inlineStr">
        <is>
          <t>4º tri - CSLL</t>
        </is>
      </c>
      <c r="C128" s="6" t="inlineStr">
        <is>
          <t>R$ 90.000,00 x 9%</t>
        </is>
      </c>
      <c r="D128" s="7" t="n">
        <v>8100</v>
      </c>
      <c r="E128" s="6" t="inlineStr">
        <is>
          <t>Lei 7.689/1988, art. 3º</t>
        </is>
      </c>
    </row>
    <row r="129">
      <c r="A129" s="5" t="inlineStr">
        <is>
          <t>E4-LP</t>
        </is>
      </c>
      <c r="B129" s="6" t="inlineStr">
        <is>
          <t>PIS cumulativo</t>
        </is>
      </c>
      <c r="C129" s="6" t="inlineStr">
        <is>
          <t>R$ 3.000.000,00 x 0,65%</t>
        </is>
      </c>
      <c r="D129" s="7" t="n">
        <v>19500</v>
      </c>
      <c r="E129" s="6" t="inlineStr">
        <is>
          <t>Lei 9.715/1998</t>
        </is>
      </c>
    </row>
    <row r="130">
      <c r="A130" s="5" t="inlineStr">
        <is>
          <t>E4-LP</t>
        </is>
      </c>
      <c r="B130" s="6" t="inlineStr">
        <is>
          <t>Cofins cumulativa</t>
        </is>
      </c>
      <c r="C130" s="6" t="inlineStr">
        <is>
          <t>R$ 3.000.000,00 x 3,00%</t>
        </is>
      </c>
      <c r="D130" s="7" t="n">
        <v>90000</v>
      </c>
      <c r="E130" s="6" t="inlineStr">
        <is>
          <t>Lei 9.718/1998</t>
        </is>
      </c>
    </row>
    <row r="131">
      <c r="A131" s="5" t="inlineStr">
        <is>
          <t>E4-LP</t>
        </is>
      </c>
      <c r="B131" s="6" t="inlineStr">
        <is>
          <t>ICMS - débito nas vendas</t>
        </is>
      </c>
      <c r="C131" s="6" t="inlineStr">
        <is>
          <t>R$ 3.000.000,00 x 18,00%</t>
        </is>
      </c>
      <c r="D131" s="7" t="n">
        <v>540000</v>
      </c>
      <c r="E131" s="6" t="inlineStr">
        <is>
          <t>LC 87/1996 e legislação estadual</t>
        </is>
      </c>
    </row>
    <row r="132">
      <c r="A132" s="5" t="inlineStr">
        <is>
          <t>E4-LP</t>
        </is>
      </c>
      <c r="B132" s="6" t="inlineStr">
        <is>
          <t>ICMS - crédito nas compras</t>
        </is>
      </c>
      <c r="C132" s="6" t="inlineStr">
        <is>
          <t>R$ 1.500.000,00 x 18,00%</t>
        </is>
      </c>
      <c r="D132" s="7" t="n">
        <v>270000</v>
      </c>
      <c r="E132" s="6" t="inlineStr">
        <is>
          <t>LC 87/1996, art. 20 (não cumulatividade)</t>
        </is>
      </c>
    </row>
    <row r="133">
      <c r="A133" s="5" t="inlineStr">
        <is>
          <t>E4-LP</t>
        </is>
      </c>
      <c r="B133" s="6" t="inlineStr">
        <is>
          <t>ICMS a recolher</t>
        </is>
      </c>
      <c r="C133" s="6" t="inlineStr">
        <is>
          <t>máx(0; débito - crédito)</t>
        </is>
      </c>
      <c r="D133" s="7" t="n">
        <v>270000</v>
      </c>
      <c r="E133" s="6" t="inlineStr"/>
    </row>
    <row r="134">
      <c r="A134" s="5" t="inlineStr">
        <is>
          <t>E4-LP</t>
        </is>
      </c>
      <c r="B134" s="6" t="inlineStr">
        <is>
          <t>INSS patronal sobre a folha CLT</t>
        </is>
      </c>
      <c r="C134" s="6" t="inlineStr">
        <is>
          <t>R$ 600.000,00 x (20,00% CPP + 2,00% RAT + 5,80% terceiros)</t>
        </is>
      </c>
      <c r="D134" s="7" t="n">
        <v>166800</v>
      </c>
      <c r="E134" s="6" t="inlineStr">
        <is>
          <t>Lei 8.212/1991, art. 22, I e II</t>
        </is>
      </c>
    </row>
    <row r="135">
      <c r="A135" s="5" t="inlineStr">
        <is>
          <t>E4-LP</t>
        </is>
      </c>
      <c r="B135" s="6" t="inlineStr">
        <is>
          <t>INSS patronal sobre o pró-labore</t>
        </is>
      </c>
      <c r="C135" s="6" t="inlineStr">
        <is>
          <t>R$ 60.000,00 x 20,00%</t>
        </is>
      </c>
      <c r="D135" s="7" t="n">
        <v>12000</v>
      </c>
      <c r="E135" s="6" t="inlineStr">
        <is>
          <t>Lei 8.212/1991, art. 22, III</t>
        </is>
      </c>
    </row>
    <row r="136">
      <c r="A136" s="5" t="inlineStr">
        <is>
          <t>E4-LR</t>
        </is>
      </c>
      <c r="B136" s="6" t="inlineStr">
        <is>
          <t>PIS - débito</t>
        </is>
      </c>
      <c r="C136" s="6" t="inlineStr">
        <is>
          <t>R$ 3.000.000,00 x 1,65%</t>
        </is>
      </c>
      <c r="D136" s="7" t="n">
        <v>49500</v>
      </c>
      <c r="E136" s="6" t="inlineStr">
        <is>
          <t>Lei 10.637/2002</t>
        </is>
      </c>
    </row>
    <row r="137">
      <c r="A137" s="5" t="inlineStr">
        <is>
          <t>E4-LR</t>
        </is>
      </c>
      <c r="B137" s="6" t="inlineStr">
        <is>
          <t>PIS - crédito</t>
        </is>
      </c>
      <c r="C137" s="6" t="inlineStr">
        <is>
          <t>(R$ 1.500.000,00 compras + R$ 200.000,00 despesas creditáveis) x 1,65%</t>
        </is>
      </c>
      <c r="D137" s="7" t="n">
        <v>28050</v>
      </c>
      <c r="E137" s="6" t="inlineStr">
        <is>
          <t>Lei 10.637/2002, art. 3º</t>
        </is>
      </c>
    </row>
    <row r="138">
      <c r="A138" s="5" t="inlineStr">
        <is>
          <t>E4-LR</t>
        </is>
      </c>
      <c r="B138" s="6" t="inlineStr">
        <is>
          <t>Cofins - débito</t>
        </is>
      </c>
      <c r="C138" s="6" t="inlineStr">
        <is>
          <t>R$ 3.000.000,00 x 7,60%</t>
        </is>
      </c>
      <c r="D138" s="7" t="n">
        <v>228000</v>
      </c>
      <c r="E138" s="6" t="inlineStr">
        <is>
          <t>Lei 10.833/2003</t>
        </is>
      </c>
    </row>
    <row r="139">
      <c r="A139" s="5" t="inlineStr">
        <is>
          <t>E4-LR</t>
        </is>
      </c>
      <c r="B139" s="6" t="inlineStr">
        <is>
          <t>Cofins - crédito</t>
        </is>
      </c>
      <c r="C139" s="6" t="inlineStr">
        <is>
          <t>(R$ 1.500.000,00 compras + R$ 200.000,00 despesas creditáveis) x 7,60%</t>
        </is>
      </c>
      <c r="D139" s="7" t="n">
        <v>129200</v>
      </c>
      <c r="E139" s="6" t="inlineStr">
        <is>
          <t>Lei 10.833/2003, art. 3º</t>
        </is>
      </c>
    </row>
    <row r="140">
      <c r="A140" s="5" t="inlineStr">
        <is>
          <t>E4-LR</t>
        </is>
      </c>
      <c r="B140" s="6" t="inlineStr">
        <is>
          <t>ICMS - débito nas vendas</t>
        </is>
      </c>
      <c r="C140" s="6" t="inlineStr">
        <is>
          <t>R$ 3.000.000,00 x 18,00%</t>
        </is>
      </c>
      <c r="D140" s="7" t="n">
        <v>540000</v>
      </c>
      <c r="E140" s="6" t="inlineStr">
        <is>
          <t>LC 87/1996 e legislação estadual</t>
        </is>
      </c>
    </row>
    <row r="141">
      <c r="A141" s="5" t="inlineStr">
        <is>
          <t>E4-LR</t>
        </is>
      </c>
      <c r="B141" s="6" t="inlineStr">
        <is>
          <t>ICMS - crédito nas compras</t>
        </is>
      </c>
      <c r="C141" s="6" t="inlineStr">
        <is>
          <t>R$ 1.500.000,00 x 18,00%</t>
        </is>
      </c>
      <c r="D141" s="7" t="n">
        <v>270000</v>
      </c>
      <c r="E141" s="6" t="inlineStr">
        <is>
          <t>LC 87/1996, art. 20 (não cumulatividade)</t>
        </is>
      </c>
    </row>
    <row r="142">
      <c r="A142" s="5" t="inlineStr">
        <is>
          <t>E4-LR</t>
        </is>
      </c>
      <c r="B142" s="6" t="inlineStr">
        <is>
          <t>ICMS a recolher</t>
        </is>
      </c>
      <c r="C142" s="6" t="inlineStr">
        <is>
          <t>máx(0; débito - crédito)</t>
        </is>
      </c>
      <c r="D142" s="7" t="n">
        <v>270000</v>
      </c>
      <c r="E142" s="6" t="inlineStr"/>
    </row>
    <row r="143">
      <c r="A143" s="5" t="inlineStr">
        <is>
          <t>E4-LR</t>
        </is>
      </c>
      <c r="B143" s="6" t="inlineStr">
        <is>
          <t>INSS patronal sobre a folha CLT</t>
        </is>
      </c>
      <c r="C143" s="6" t="inlineStr">
        <is>
          <t>R$ 600.000,00 x (20,00% CPP + 2,00% RAT + 5,80% terceiros)</t>
        </is>
      </c>
      <c r="D143" s="7" t="n">
        <v>166800</v>
      </c>
      <c r="E143" s="6" t="inlineStr">
        <is>
          <t>Lei 8.212/1991, art. 22, I e II</t>
        </is>
      </c>
    </row>
    <row r="144">
      <c r="A144" s="5" t="inlineStr">
        <is>
          <t>E4-LR</t>
        </is>
      </c>
      <c r="B144" s="6" t="inlineStr">
        <is>
          <t>INSS patronal sobre o pró-labore</t>
        </is>
      </c>
      <c r="C144" s="6" t="inlineStr">
        <is>
          <t>R$ 60.000,00 x 20,00%</t>
        </is>
      </c>
      <c r="D144" s="7" t="n">
        <v>12000</v>
      </c>
      <c r="E144" s="6" t="inlineStr">
        <is>
          <t>Lei 8.212/1991, art. 22, III</t>
        </is>
      </c>
    </row>
    <row r="145">
      <c r="A145" s="5" t="inlineStr">
        <is>
          <t>E4-LR</t>
        </is>
      </c>
      <c r="B145" s="6" t="inlineStr">
        <is>
          <t>Lucro antes do IRPJ/CSLL</t>
        </is>
      </c>
      <c r="C145" s="6" t="inlineStr">
        <is>
          <t>R$ 3.000.000,00 receita - R$ 1.500.000,00 compras - R$ 300.000,00 despesas - R$ 660.000,00 folha e pró-labore - R$ 48.000,00 FGTS - R$ 569.050,00 tributos dedutíveis</t>
        </is>
      </c>
      <c r="D145" s="7" t="n">
        <v>-77050</v>
      </c>
      <c r="E145" s="6" t="inlineStr">
        <is>
          <t>Lei 6.404/1976 (DRE)</t>
        </is>
      </c>
    </row>
    <row r="146">
      <c r="A146" s="5" t="inlineStr">
        <is>
          <t>E4-LR</t>
        </is>
      </c>
      <c r="B146" s="6" t="inlineStr">
        <is>
          <t>IRPJ</t>
        </is>
      </c>
      <c r="C146" s="6" t="inlineStr">
        <is>
          <t>R$ 0,00 x 15% + 10% sobre o que exceder R$ 240.000,00</t>
        </is>
      </c>
      <c r="D146" s="7" t="n">
        <v>0</v>
      </c>
      <c r="E146" s="6" t="inlineStr">
        <is>
          <t>Lei 9.249/1995, art. 3º; Lei 9.430/1996, art. 2º</t>
        </is>
      </c>
    </row>
    <row r="147">
      <c r="A147" s="5" t="inlineStr">
        <is>
          <t>E4-LR</t>
        </is>
      </c>
      <c r="B147" s="6" t="inlineStr">
        <is>
          <t>CSLL</t>
        </is>
      </c>
      <c r="C147" s="6" t="inlineStr">
        <is>
          <t>R$ 0,00 x 9%</t>
        </is>
      </c>
      <c r="D147" s="7" t="n">
        <v>0</v>
      </c>
      <c r="E147" s="6" t="inlineStr">
        <is>
          <t>Lei 7.689/1988, art. 3º</t>
        </is>
      </c>
    </row>
    <row r="148">
      <c r="A148" s="5" t="inlineStr">
        <is>
          <t>E5-SN</t>
        </is>
      </c>
      <c r="B148" s="6" t="inlineStr">
        <is>
          <t>Alíquota efetiva - Anexo IV, 4ª faixa</t>
        </is>
      </c>
      <c r="C148" s="6" t="inlineStr">
        <is>
          <t>(R$ 900.000,00 x 14,00% - R$ 39.780,00) / R$ 900.000,00 = 9,5800%</t>
        </is>
      </c>
      <c r="D148" s="19" t="n">
        <v>0.0958</v>
      </c>
      <c r="E148" s="6" t="inlineStr">
        <is>
          <t>LC 123/2006, art. 18, §1º e §1º-A</t>
        </is>
      </c>
    </row>
    <row r="149">
      <c r="A149" s="5" t="inlineStr">
        <is>
          <t>E5-SN</t>
        </is>
      </c>
      <c r="B149" s="6" t="inlineStr">
        <is>
          <t>DAS anual</t>
        </is>
      </c>
      <c r="C149" s="6" t="inlineStr">
        <is>
          <t>R$ 900.000,00 x 9,5800%</t>
        </is>
      </c>
      <c r="D149" s="7" t="n">
        <v>86220</v>
      </c>
      <c r="E149" s="6" t="inlineStr">
        <is>
          <t>LC 123/2006, art. 13</t>
        </is>
      </c>
    </row>
    <row r="150">
      <c r="A150" s="5" t="inlineStr">
        <is>
          <t>E5-SN</t>
        </is>
      </c>
      <c r="B150" s="6" t="inlineStr">
        <is>
          <t>CPP fora do DAS (Anexo IV)</t>
        </is>
      </c>
      <c r="C150" s="6" t="inlineStr">
        <is>
          <t>R$ 300.000,00 x (20,00% + 2,00% RAT) + R$ 36.000,00 x 20,00%</t>
        </is>
      </c>
      <c r="D150" s="7" t="n">
        <v>73200</v>
      </c>
      <c r="E150" s="6" t="inlineStr">
        <is>
          <t>LC 123/2006, art. 18, §5º-C e art. 13, VI</t>
        </is>
      </c>
    </row>
    <row r="151">
      <c r="A151" s="5" t="inlineStr">
        <is>
          <t>E5-LP</t>
        </is>
      </c>
      <c r="B151" s="6" t="inlineStr">
        <is>
          <t>Percentuais de presunção</t>
        </is>
      </c>
      <c r="C151" s="6" t="inlineStr">
        <is>
          <t>Prestação de serviços em geral: IRPJ 32,0%, CSLL 32,0%</t>
        </is>
      </c>
      <c r="D151" s="19" t="n">
        <v>0.32</v>
      </c>
      <c r="E151" s="6" t="inlineStr">
        <is>
          <t>Lei 9.249/1995, art. 15, §1º e art. 20</t>
        </is>
      </c>
    </row>
    <row r="152">
      <c r="A152" s="5" t="inlineStr">
        <is>
          <t>E5-LP</t>
        </is>
      </c>
      <c r="B152" s="6" t="inlineStr">
        <is>
          <t>1º tri - base presumida IRPJ</t>
        </is>
      </c>
      <c r="C152" s="6" t="inlineStr">
        <is>
          <t>R$ 225.000,00 x 32,0%</t>
        </is>
      </c>
      <c r="D152" s="7" t="n">
        <v>72000</v>
      </c>
      <c r="E152" s="6" t="inlineStr">
        <is>
          <t>Lei 9.249/1995, arts. 15 e 20</t>
        </is>
      </c>
    </row>
    <row r="153">
      <c r="A153" s="5" t="inlineStr">
        <is>
          <t>E5-LP</t>
        </is>
      </c>
      <c r="B153" s="6" t="inlineStr">
        <is>
          <t>1º tri - IRPJ</t>
        </is>
      </c>
      <c r="C153" s="6" t="inlineStr">
        <is>
          <t>R$ 72.000,00 x 15% + adicional 10% sobre o que exceder R$ 60.000,00</t>
        </is>
      </c>
      <c r="D153" s="7" t="n">
        <v>12000</v>
      </c>
      <c r="E153" s="6" t="inlineStr">
        <is>
          <t>Lei 9.430/1996, arts. 3º e 4º</t>
        </is>
      </c>
    </row>
    <row r="154">
      <c r="A154" s="5" t="inlineStr">
        <is>
          <t>E5-LP</t>
        </is>
      </c>
      <c r="B154" s="6" t="inlineStr">
        <is>
          <t>1º tri - base presumida CSLL</t>
        </is>
      </c>
      <c r="C154" s="6" t="inlineStr">
        <is>
          <t>R$ 225.000,00 x 32,0%</t>
        </is>
      </c>
      <c r="D154" s="7" t="n">
        <v>72000</v>
      </c>
      <c r="E154" s="6" t="inlineStr">
        <is>
          <t>Lei 9.249/1995, arts. 15 e 20</t>
        </is>
      </c>
    </row>
    <row r="155">
      <c r="A155" s="5" t="inlineStr">
        <is>
          <t>E5-LP</t>
        </is>
      </c>
      <c r="B155" s="6" t="inlineStr">
        <is>
          <t>1º tri - CSLL</t>
        </is>
      </c>
      <c r="C155" s="6" t="inlineStr">
        <is>
          <t>R$ 72.000,00 x 9%</t>
        </is>
      </c>
      <c r="D155" s="7" t="n">
        <v>6480</v>
      </c>
      <c r="E155" s="6" t="inlineStr">
        <is>
          <t>Lei 7.689/1988, art. 3º</t>
        </is>
      </c>
    </row>
    <row r="156">
      <c r="A156" s="5" t="inlineStr">
        <is>
          <t>E5-LP</t>
        </is>
      </c>
      <c r="B156" s="6" t="inlineStr">
        <is>
          <t>2º tri - base presumida IRPJ</t>
        </is>
      </c>
      <c r="C156" s="6" t="inlineStr">
        <is>
          <t>R$ 225.000,00 x 32,0%</t>
        </is>
      </c>
      <c r="D156" s="7" t="n">
        <v>72000</v>
      </c>
      <c r="E156" s="6" t="inlineStr">
        <is>
          <t>Lei 9.249/1995, arts. 15 e 20</t>
        </is>
      </c>
    </row>
    <row r="157">
      <c r="A157" s="5" t="inlineStr">
        <is>
          <t>E5-LP</t>
        </is>
      </c>
      <c r="B157" s="6" t="inlineStr">
        <is>
          <t>2º tri - IRPJ</t>
        </is>
      </c>
      <c r="C157" s="6" t="inlineStr">
        <is>
          <t>R$ 72.000,00 x 15% + adicional 10% sobre o que exceder R$ 60.000,00</t>
        </is>
      </c>
      <c r="D157" s="7" t="n">
        <v>12000</v>
      </c>
      <c r="E157" s="6" t="inlineStr">
        <is>
          <t>Lei 9.430/1996, arts. 3º e 4º</t>
        </is>
      </c>
    </row>
    <row r="158">
      <c r="A158" s="5" t="inlineStr">
        <is>
          <t>E5-LP</t>
        </is>
      </c>
      <c r="B158" s="6" t="inlineStr">
        <is>
          <t>2º tri - base presumida CSLL</t>
        </is>
      </c>
      <c r="C158" s="6" t="inlineStr">
        <is>
          <t>R$ 225.000,00 x 32,0%</t>
        </is>
      </c>
      <c r="D158" s="7" t="n">
        <v>72000</v>
      </c>
      <c r="E158" s="6" t="inlineStr">
        <is>
          <t>Lei 9.249/1995, arts. 15 e 20</t>
        </is>
      </c>
    </row>
    <row r="159">
      <c r="A159" s="5" t="inlineStr">
        <is>
          <t>E5-LP</t>
        </is>
      </c>
      <c r="B159" s="6" t="inlineStr">
        <is>
          <t>2º tri - CSLL</t>
        </is>
      </c>
      <c r="C159" s="6" t="inlineStr">
        <is>
          <t>R$ 72.000,00 x 9%</t>
        </is>
      </c>
      <c r="D159" s="7" t="n">
        <v>6480</v>
      </c>
      <c r="E159" s="6" t="inlineStr">
        <is>
          <t>Lei 7.689/1988, art. 3º</t>
        </is>
      </c>
    </row>
    <row r="160">
      <c r="A160" s="5" t="inlineStr">
        <is>
          <t>E5-LP</t>
        </is>
      </c>
      <c r="B160" s="6" t="inlineStr">
        <is>
          <t>3º tri - base presumida IRPJ</t>
        </is>
      </c>
      <c r="C160" s="6" t="inlineStr">
        <is>
          <t>R$ 225.000,00 x 32,0%</t>
        </is>
      </c>
      <c r="D160" s="7" t="n">
        <v>72000</v>
      </c>
      <c r="E160" s="6" t="inlineStr">
        <is>
          <t>Lei 9.249/1995, arts. 15 e 20</t>
        </is>
      </c>
    </row>
    <row r="161">
      <c r="A161" s="5" t="inlineStr">
        <is>
          <t>E5-LP</t>
        </is>
      </c>
      <c r="B161" s="6" t="inlineStr">
        <is>
          <t>3º tri - IRPJ</t>
        </is>
      </c>
      <c r="C161" s="6" t="inlineStr">
        <is>
          <t>R$ 72.000,00 x 15% + adicional 10% sobre o que exceder R$ 60.000,00</t>
        </is>
      </c>
      <c r="D161" s="7" t="n">
        <v>12000</v>
      </c>
      <c r="E161" s="6" t="inlineStr">
        <is>
          <t>Lei 9.430/1996, arts. 3º e 4º</t>
        </is>
      </c>
    </row>
    <row r="162">
      <c r="A162" s="5" t="inlineStr">
        <is>
          <t>E5-LP</t>
        </is>
      </c>
      <c r="B162" s="6" t="inlineStr">
        <is>
          <t>3º tri - base presumida CSLL</t>
        </is>
      </c>
      <c r="C162" s="6" t="inlineStr">
        <is>
          <t>R$ 225.000,00 x 32,0%</t>
        </is>
      </c>
      <c r="D162" s="7" t="n">
        <v>72000</v>
      </c>
      <c r="E162" s="6" t="inlineStr">
        <is>
          <t>Lei 9.249/1995, arts. 15 e 20</t>
        </is>
      </c>
    </row>
    <row r="163">
      <c r="A163" s="5" t="inlineStr">
        <is>
          <t>E5-LP</t>
        </is>
      </c>
      <c r="B163" s="6" t="inlineStr">
        <is>
          <t>3º tri - CSLL</t>
        </is>
      </c>
      <c r="C163" s="6" t="inlineStr">
        <is>
          <t>R$ 72.000,00 x 9%</t>
        </is>
      </c>
      <c r="D163" s="7" t="n">
        <v>6480</v>
      </c>
      <c r="E163" s="6" t="inlineStr">
        <is>
          <t>Lei 7.689/1988, art. 3º</t>
        </is>
      </c>
    </row>
    <row r="164">
      <c r="A164" s="5" t="inlineStr">
        <is>
          <t>E5-LP</t>
        </is>
      </c>
      <c r="B164" s="6" t="inlineStr">
        <is>
          <t>4º tri - base presumida IRPJ</t>
        </is>
      </c>
      <c r="C164" s="6" t="inlineStr">
        <is>
          <t>R$ 225.000,00 x 32,0%</t>
        </is>
      </c>
      <c r="D164" s="7" t="n">
        <v>72000</v>
      </c>
      <c r="E164" s="6" t="inlineStr">
        <is>
          <t>Lei 9.249/1995, arts. 15 e 20</t>
        </is>
      </c>
    </row>
    <row r="165">
      <c r="A165" s="5" t="inlineStr">
        <is>
          <t>E5-LP</t>
        </is>
      </c>
      <c r="B165" s="6" t="inlineStr">
        <is>
          <t>4º tri - IRPJ</t>
        </is>
      </c>
      <c r="C165" s="6" t="inlineStr">
        <is>
          <t>R$ 72.000,00 x 15% + adicional 10% sobre o que exceder R$ 60.000,00</t>
        </is>
      </c>
      <c r="D165" s="7" t="n">
        <v>12000</v>
      </c>
      <c r="E165" s="6" t="inlineStr">
        <is>
          <t>Lei 9.430/1996, arts. 3º e 4º</t>
        </is>
      </c>
    </row>
    <row r="166">
      <c r="A166" s="5" t="inlineStr">
        <is>
          <t>E5-LP</t>
        </is>
      </c>
      <c r="B166" s="6" t="inlineStr">
        <is>
          <t>4º tri - base presumida CSLL</t>
        </is>
      </c>
      <c r="C166" s="6" t="inlineStr">
        <is>
          <t>R$ 225.000,00 x 32,0%</t>
        </is>
      </c>
      <c r="D166" s="7" t="n">
        <v>72000</v>
      </c>
      <c r="E166" s="6" t="inlineStr">
        <is>
          <t>Lei 9.249/1995, arts. 15 e 20</t>
        </is>
      </c>
    </row>
    <row r="167">
      <c r="A167" s="5" t="inlineStr">
        <is>
          <t>E5-LP</t>
        </is>
      </c>
      <c r="B167" s="6" t="inlineStr">
        <is>
          <t>4º tri - CSLL</t>
        </is>
      </c>
      <c r="C167" s="6" t="inlineStr">
        <is>
          <t>R$ 72.000,00 x 9%</t>
        </is>
      </c>
      <c r="D167" s="7" t="n">
        <v>6480</v>
      </c>
      <c r="E167" s="6" t="inlineStr">
        <is>
          <t>Lei 7.689/1988, art. 3º</t>
        </is>
      </c>
    </row>
    <row r="168">
      <c r="A168" s="5" t="inlineStr">
        <is>
          <t>E5-LP</t>
        </is>
      </c>
      <c r="B168" s="6" t="inlineStr">
        <is>
          <t>PIS cumulativo</t>
        </is>
      </c>
      <c r="C168" s="6" t="inlineStr">
        <is>
          <t>R$ 900.000,00 x 0,65%</t>
        </is>
      </c>
      <c r="D168" s="7" t="n">
        <v>5850</v>
      </c>
      <c r="E168" s="6" t="inlineStr">
        <is>
          <t>Lei 9.715/1998</t>
        </is>
      </c>
    </row>
    <row r="169">
      <c r="A169" s="5" t="inlineStr">
        <is>
          <t>E5-LP</t>
        </is>
      </c>
      <c r="B169" s="6" t="inlineStr">
        <is>
          <t>Cofins cumulativa</t>
        </is>
      </c>
      <c r="C169" s="6" t="inlineStr">
        <is>
          <t>R$ 900.000,00 x 3,00%</t>
        </is>
      </c>
      <c r="D169" s="7" t="n">
        <v>27000</v>
      </c>
      <c r="E169" s="6" t="inlineStr">
        <is>
          <t>Lei 9.718/1998</t>
        </is>
      </c>
    </row>
    <row r="170">
      <c r="A170" s="5" t="inlineStr">
        <is>
          <t>E5-LP</t>
        </is>
      </c>
      <c r="B170" s="6" t="inlineStr">
        <is>
          <t>ISS</t>
        </is>
      </c>
      <c r="C170" s="6" t="inlineStr">
        <is>
          <t>R$ 900.000,00 x 3,00%</t>
        </is>
      </c>
      <c r="D170" s="7" t="n">
        <v>27000</v>
      </c>
      <c r="E170" s="6" t="inlineStr">
        <is>
          <t>LC 116/2003 e lei municipal</t>
        </is>
      </c>
    </row>
    <row r="171">
      <c r="A171" s="5" t="inlineStr">
        <is>
          <t>E5-LP</t>
        </is>
      </c>
      <c r="B171" s="6" t="inlineStr">
        <is>
          <t>INSS patronal sobre a folha CLT</t>
        </is>
      </c>
      <c r="C171" s="6" t="inlineStr">
        <is>
          <t>R$ 300.000,00 x (20,00% CPP + 2,00% RAT + 5,80% terceiros)</t>
        </is>
      </c>
      <c r="D171" s="7" t="n">
        <v>83400</v>
      </c>
      <c r="E171" s="6" t="inlineStr">
        <is>
          <t>Lei 8.212/1991, art. 22, I e II</t>
        </is>
      </c>
    </row>
    <row r="172">
      <c r="A172" s="5" t="inlineStr">
        <is>
          <t>E5-LP</t>
        </is>
      </c>
      <c r="B172" s="6" t="inlineStr">
        <is>
          <t>INSS patronal sobre o pró-labore</t>
        </is>
      </c>
      <c r="C172" s="6" t="inlineStr">
        <is>
          <t>R$ 36.000,00 x 20,00%</t>
        </is>
      </c>
      <c r="D172" s="7" t="n">
        <v>7200</v>
      </c>
      <c r="E172" s="6" t="inlineStr">
        <is>
          <t>Lei 8.212/1991, art. 22, III</t>
        </is>
      </c>
    </row>
    <row r="173">
      <c r="A173" s="5" t="inlineStr">
        <is>
          <t>E5-LR</t>
        </is>
      </c>
      <c r="B173" s="6" t="inlineStr">
        <is>
          <t>PIS - débito</t>
        </is>
      </c>
      <c r="C173" s="6" t="inlineStr">
        <is>
          <t>R$ 900.000,00 x 1,65%</t>
        </is>
      </c>
      <c r="D173" s="7" t="n">
        <v>14850</v>
      </c>
      <c r="E173" s="6" t="inlineStr">
        <is>
          <t>Lei 10.637/2002</t>
        </is>
      </c>
    </row>
    <row r="174">
      <c r="A174" s="5" t="inlineStr">
        <is>
          <t>E5-LR</t>
        </is>
      </c>
      <c r="B174" s="6" t="inlineStr">
        <is>
          <t>PIS - crédito</t>
        </is>
      </c>
      <c r="C174" s="6" t="inlineStr">
        <is>
          <t>(R$ 0,00 compras + R$ 0,00 despesas creditáveis) x 1,65%</t>
        </is>
      </c>
      <c r="D174" s="7" t="n">
        <v>0</v>
      </c>
      <c r="E174" s="6" t="inlineStr">
        <is>
          <t>Lei 10.637/2002, art. 3º</t>
        </is>
      </c>
    </row>
    <row r="175">
      <c r="A175" s="5" t="inlineStr">
        <is>
          <t>E5-LR</t>
        </is>
      </c>
      <c r="B175" s="6" t="inlineStr">
        <is>
          <t>Cofins - débito</t>
        </is>
      </c>
      <c r="C175" s="6" t="inlineStr">
        <is>
          <t>R$ 900.000,00 x 7,60%</t>
        </is>
      </c>
      <c r="D175" s="7" t="n">
        <v>68400</v>
      </c>
      <c r="E175" s="6" t="inlineStr">
        <is>
          <t>Lei 10.833/2003</t>
        </is>
      </c>
    </row>
    <row r="176">
      <c r="A176" s="5" t="inlineStr">
        <is>
          <t>E5-LR</t>
        </is>
      </c>
      <c r="B176" s="6" t="inlineStr">
        <is>
          <t>Cofins - crédito</t>
        </is>
      </c>
      <c r="C176" s="6" t="inlineStr">
        <is>
          <t>(R$ 0,00 compras + R$ 0,00 despesas creditáveis) x 7,60%</t>
        </is>
      </c>
      <c r="D176" s="7" t="n">
        <v>0</v>
      </c>
      <c r="E176" s="6" t="inlineStr">
        <is>
          <t>Lei 10.833/2003, art. 3º</t>
        </is>
      </c>
    </row>
    <row r="177">
      <c r="A177" s="5" t="inlineStr">
        <is>
          <t>E5-LR</t>
        </is>
      </c>
      <c r="B177" s="6" t="inlineStr">
        <is>
          <t>ISS</t>
        </is>
      </c>
      <c r="C177" s="6" t="inlineStr">
        <is>
          <t>R$ 900.000,00 x 3,00%</t>
        </is>
      </c>
      <c r="D177" s="7" t="n">
        <v>27000</v>
      </c>
      <c r="E177" s="6" t="inlineStr">
        <is>
          <t>LC 116/2003 e lei municipal</t>
        </is>
      </c>
    </row>
    <row r="178">
      <c r="A178" s="5" t="inlineStr">
        <is>
          <t>E5-LR</t>
        </is>
      </c>
      <c r="B178" s="6" t="inlineStr">
        <is>
          <t>INSS patronal sobre a folha CLT</t>
        </is>
      </c>
      <c r="C178" s="6" t="inlineStr">
        <is>
          <t>R$ 300.000,00 x (20,00% CPP + 2,00% RAT + 5,80% terceiros)</t>
        </is>
      </c>
      <c r="D178" s="7" t="n">
        <v>83400</v>
      </c>
      <c r="E178" s="6" t="inlineStr">
        <is>
          <t>Lei 8.212/1991, art. 22, I e II</t>
        </is>
      </c>
    </row>
    <row r="179">
      <c r="A179" s="5" t="inlineStr">
        <is>
          <t>E5-LR</t>
        </is>
      </c>
      <c r="B179" s="6" t="inlineStr">
        <is>
          <t>INSS patronal sobre o pró-labore</t>
        </is>
      </c>
      <c r="C179" s="6" t="inlineStr">
        <is>
          <t>R$ 36.000,00 x 20,00%</t>
        </is>
      </c>
      <c r="D179" s="7" t="n">
        <v>7200</v>
      </c>
      <c r="E179" s="6" t="inlineStr">
        <is>
          <t>Lei 8.212/1991, art. 22, III</t>
        </is>
      </c>
    </row>
    <row r="180">
      <c r="A180" s="5" t="inlineStr">
        <is>
          <t>E5-LR</t>
        </is>
      </c>
      <c r="B180" s="6" t="inlineStr">
        <is>
          <t>Lucro antes do IRPJ/CSLL</t>
        </is>
      </c>
      <c r="C180" s="6" t="inlineStr">
        <is>
          <t>R$ 900.000,00 receita - R$ 0,00 compras - R$ 200.000,00 despesas - R$ 336.000,00 folha e pró-labore - R$ 24.000,00 FGTS - R$ 200.850,00 tributos dedutíveis</t>
        </is>
      </c>
      <c r="D180" s="7" t="n">
        <v>139150</v>
      </c>
      <c r="E180" s="6" t="inlineStr">
        <is>
          <t>Lei 6.404/1976 (DRE)</t>
        </is>
      </c>
    </row>
    <row r="181">
      <c r="A181" s="5" t="inlineStr">
        <is>
          <t>E5-LR</t>
        </is>
      </c>
      <c r="B181" s="6" t="inlineStr">
        <is>
          <t>IRPJ</t>
        </is>
      </c>
      <c r="C181" s="6" t="inlineStr">
        <is>
          <t>R$ 139.150,00 x 15% + 10% sobre o que exceder R$ 240.000,00</t>
        </is>
      </c>
      <c r="D181" s="7" t="n">
        <v>20872.5</v>
      </c>
      <c r="E181" s="6" t="inlineStr">
        <is>
          <t>Lei 9.249/1995, art. 3º; Lei 9.430/1996, art. 2º</t>
        </is>
      </c>
    </row>
    <row r="182">
      <c r="A182" s="5" t="inlineStr">
        <is>
          <t>E5-LR</t>
        </is>
      </c>
      <c r="B182" s="6" t="inlineStr">
        <is>
          <t>CSLL</t>
        </is>
      </c>
      <c r="C182" s="6" t="inlineStr">
        <is>
          <t>R$ 139.150,00 x 9%</t>
        </is>
      </c>
      <c r="D182" s="7" t="n">
        <v>12523.5</v>
      </c>
      <c r="E182" s="6" t="inlineStr">
        <is>
          <t>Lei 7.689/1988, art. 3º</t>
        </is>
      </c>
    </row>
    <row r="183">
      <c r="A183" s="5" t="inlineStr">
        <is>
          <t>E6-LP</t>
        </is>
      </c>
      <c r="B183" s="6" t="inlineStr">
        <is>
          <t>Percentuais de presunção</t>
        </is>
      </c>
      <c r="C183" s="6" t="inlineStr">
        <is>
          <t>Prestação de serviços em geral: IRPJ 32,0%, CSLL 32,0%</t>
        </is>
      </c>
      <c r="D183" s="19" t="n">
        <v>0.32</v>
      </c>
      <c r="E183" s="6" t="inlineStr">
        <is>
          <t>Lei 9.249/1995, art. 15, §1º e art. 20</t>
        </is>
      </c>
    </row>
    <row r="184">
      <c r="A184" s="5" t="inlineStr">
        <is>
          <t>E6-LP</t>
        </is>
      </c>
      <c r="B184" s="6" t="inlineStr">
        <is>
          <t>1º tri - base presumida IRPJ</t>
        </is>
      </c>
      <c r="C184" s="6" t="inlineStr">
        <is>
          <t>R$ 2.000.000,00 x 32,0% + acréscimo LC 224/2025: R$ 750.000,00 excedente x 32,0% x 10%</t>
        </is>
      </c>
      <c r="D184" s="7" t="n">
        <v>664000</v>
      </c>
      <c r="E184" s="6" t="inlineStr">
        <is>
          <t>Lei 9.249/1995, arts. 15 e 20</t>
        </is>
      </c>
    </row>
    <row r="185">
      <c r="A185" s="5" t="inlineStr">
        <is>
          <t>E6-LP</t>
        </is>
      </c>
      <c r="B185" s="6" t="inlineStr">
        <is>
          <t>1º tri - IRPJ</t>
        </is>
      </c>
      <c r="C185" s="6" t="inlineStr">
        <is>
          <t>R$ 664.000,00 x 15% + adicional 10% sobre o que exceder R$ 60.000,00</t>
        </is>
      </c>
      <c r="D185" s="7" t="n">
        <v>160000</v>
      </c>
      <c r="E185" s="6" t="inlineStr">
        <is>
          <t>Lei 9.430/1996, arts. 3º e 4º</t>
        </is>
      </c>
    </row>
    <row r="186">
      <c r="A186" s="5" t="inlineStr">
        <is>
          <t>E6-LP</t>
        </is>
      </c>
      <c r="B186" s="6" t="inlineStr">
        <is>
          <t>1º tri - base presumida CSLL</t>
        </is>
      </c>
      <c r="C186" s="6" t="inlineStr">
        <is>
          <t>R$ 2.000.000,00 x 32,0%</t>
        </is>
      </c>
      <c r="D186" s="7" t="n">
        <v>640000</v>
      </c>
      <c r="E186" s="6" t="inlineStr">
        <is>
          <t>Lei 9.249/1995, arts. 15 e 20</t>
        </is>
      </c>
    </row>
    <row r="187">
      <c r="A187" s="5" t="inlineStr">
        <is>
          <t>E6-LP</t>
        </is>
      </c>
      <c r="B187" s="6" t="inlineStr">
        <is>
          <t>1º tri - CSLL</t>
        </is>
      </c>
      <c r="C187" s="6" t="inlineStr">
        <is>
          <t>R$ 640.000,00 x 9%</t>
        </is>
      </c>
      <c r="D187" s="7" t="n">
        <v>57600</v>
      </c>
      <c r="E187" s="6" t="inlineStr">
        <is>
          <t>Lei 7.689/1988, art. 3º</t>
        </is>
      </c>
    </row>
    <row r="188">
      <c r="A188" s="5" t="inlineStr">
        <is>
          <t>E6-LP</t>
        </is>
      </c>
      <c r="B188" s="6" t="inlineStr">
        <is>
          <t>2º tri - base presumida IRPJ</t>
        </is>
      </c>
      <c r="C188" s="6" t="inlineStr">
        <is>
          <t>R$ 2.000.000,00 x 32,0% + acréscimo LC 224/2025: R$ 750.000,00 excedente x 32,0% x 10%</t>
        </is>
      </c>
      <c r="D188" s="7" t="n">
        <v>664000</v>
      </c>
      <c r="E188" s="6" t="inlineStr">
        <is>
          <t>Lei 9.249/1995, arts. 15 e 20</t>
        </is>
      </c>
    </row>
    <row r="189">
      <c r="A189" s="5" t="inlineStr">
        <is>
          <t>E6-LP</t>
        </is>
      </c>
      <c r="B189" s="6" t="inlineStr">
        <is>
          <t>2º tri - IRPJ</t>
        </is>
      </c>
      <c r="C189" s="6" t="inlineStr">
        <is>
          <t>R$ 664.000,00 x 15% + adicional 10% sobre o que exceder R$ 60.000,00</t>
        </is>
      </c>
      <c r="D189" s="7" t="n">
        <v>160000</v>
      </c>
      <c r="E189" s="6" t="inlineStr">
        <is>
          <t>Lei 9.430/1996, arts. 3º e 4º</t>
        </is>
      </c>
    </row>
    <row r="190">
      <c r="A190" s="5" t="inlineStr">
        <is>
          <t>E6-LP</t>
        </is>
      </c>
      <c r="B190" s="6" t="inlineStr">
        <is>
          <t>2º tri - base presumida CSLL</t>
        </is>
      </c>
      <c r="C190" s="6" t="inlineStr">
        <is>
          <t>R$ 2.000.000,00 x 32,0% + acréscimo LC 224/2025: R$ 750.000,00 excedente x 32,0% x 10%</t>
        </is>
      </c>
      <c r="D190" s="7" t="n">
        <v>664000</v>
      </c>
      <c r="E190" s="6" t="inlineStr">
        <is>
          <t>Lei 9.249/1995, arts. 15 e 20</t>
        </is>
      </c>
    </row>
    <row r="191">
      <c r="A191" s="5" t="inlineStr">
        <is>
          <t>E6-LP</t>
        </is>
      </c>
      <c r="B191" s="6" t="inlineStr">
        <is>
          <t>2º tri - CSLL</t>
        </is>
      </c>
      <c r="C191" s="6" t="inlineStr">
        <is>
          <t>R$ 664.000,00 x 9%</t>
        </is>
      </c>
      <c r="D191" s="7" t="n">
        <v>59760</v>
      </c>
      <c r="E191" s="6" t="inlineStr">
        <is>
          <t>Lei 7.689/1988, art. 3º</t>
        </is>
      </c>
    </row>
    <row r="192">
      <c r="A192" s="5" t="inlineStr">
        <is>
          <t>E6-LP</t>
        </is>
      </c>
      <c r="B192" s="6" t="inlineStr">
        <is>
          <t>3º tri - base presumida IRPJ</t>
        </is>
      </c>
      <c r="C192" s="6" t="inlineStr">
        <is>
          <t>R$ 2.000.000,00 x 32,0% + acréscimo LC 224/2025: R$ 750.000,00 excedente x 32,0% x 10%</t>
        </is>
      </c>
      <c r="D192" s="7" t="n">
        <v>664000</v>
      </c>
      <c r="E192" s="6" t="inlineStr">
        <is>
          <t>Lei 9.249/1995, arts. 15 e 20</t>
        </is>
      </c>
    </row>
    <row r="193">
      <c r="A193" s="5" t="inlineStr">
        <is>
          <t>E6-LP</t>
        </is>
      </c>
      <c r="B193" s="6" t="inlineStr">
        <is>
          <t>3º tri - IRPJ</t>
        </is>
      </c>
      <c r="C193" s="6" t="inlineStr">
        <is>
          <t>R$ 664.000,00 x 15% + adicional 10% sobre o que exceder R$ 60.000,00</t>
        </is>
      </c>
      <c r="D193" s="7" t="n">
        <v>160000</v>
      </c>
      <c r="E193" s="6" t="inlineStr">
        <is>
          <t>Lei 9.430/1996, arts. 3º e 4º</t>
        </is>
      </c>
    </row>
    <row r="194">
      <c r="A194" s="5" t="inlineStr">
        <is>
          <t>E6-LP</t>
        </is>
      </c>
      <c r="B194" s="6" t="inlineStr">
        <is>
          <t>3º tri - base presumida CSLL</t>
        </is>
      </c>
      <c r="C194" s="6" t="inlineStr">
        <is>
          <t>R$ 2.000.000,00 x 32,0% + acréscimo LC 224/2025: R$ 750.000,00 excedente x 32,0% x 10%</t>
        </is>
      </c>
      <c r="D194" s="7" t="n">
        <v>664000</v>
      </c>
      <c r="E194" s="6" t="inlineStr">
        <is>
          <t>Lei 9.249/1995, arts. 15 e 20</t>
        </is>
      </c>
    </row>
    <row r="195">
      <c r="A195" s="5" t="inlineStr">
        <is>
          <t>E6-LP</t>
        </is>
      </c>
      <c r="B195" s="6" t="inlineStr">
        <is>
          <t>3º tri - CSLL</t>
        </is>
      </c>
      <c r="C195" s="6" t="inlineStr">
        <is>
          <t>R$ 664.000,00 x 9%</t>
        </is>
      </c>
      <c r="D195" s="7" t="n">
        <v>59760</v>
      </c>
      <c r="E195" s="6" t="inlineStr">
        <is>
          <t>Lei 7.689/1988, art. 3º</t>
        </is>
      </c>
    </row>
    <row r="196">
      <c r="A196" s="5" t="inlineStr">
        <is>
          <t>E6-LP</t>
        </is>
      </c>
      <c r="B196" s="6" t="inlineStr">
        <is>
          <t>4º tri - base presumida IRPJ</t>
        </is>
      </c>
      <c r="C196" s="6" t="inlineStr">
        <is>
          <t>R$ 2.000.000,00 x 32,0% + acréscimo LC 224/2025: R$ 750.000,00 excedente x 32,0% x 10%</t>
        </is>
      </c>
      <c r="D196" s="7" t="n">
        <v>664000</v>
      </c>
      <c r="E196" s="6" t="inlineStr">
        <is>
          <t>Lei 9.249/1995, arts. 15 e 20</t>
        </is>
      </c>
    </row>
    <row r="197">
      <c r="A197" s="5" t="inlineStr">
        <is>
          <t>E6-LP</t>
        </is>
      </c>
      <c r="B197" s="6" t="inlineStr">
        <is>
          <t>4º tri - IRPJ</t>
        </is>
      </c>
      <c r="C197" s="6" t="inlineStr">
        <is>
          <t>R$ 664.000,00 x 15% + adicional 10% sobre o que exceder R$ 60.000,00</t>
        </is>
      </c>
      <c r="D197" s="7" t="n">
        <v>160000</v>
      </c>
      <c r="E197" s="6" t="inlineStr">
        <is>
          <t>Lei 9.430/1996, arts. 3º e 4º</t>
        </is>
      </c>
    </row>
    <row r="198">
      <c r="A198" s="5" t="inlineStr">
        <is>
          <t>E6-LP</t>
        </is>
      </c>
      <c r="B198" s="6" t="inlineStr">
        <is>
          <t>4º tri - base presumida CSLL</t>
        </is>
      </c>
      <c r="C198" s="6" t="inlineStr">
        <is>
          <t>R$ 2.000.000,00 x 32,0% + acréscimo LC 224/2025: R$ 750.000,00 excedente x 32,0% x 10%</t>
        </is>
      </c>
      <c r="D198" s="7" t="n">
        <v>664000</v>
      </c>
      <c r="E198" s="6" t="inlineStr">
        <is>
          <t>Lei 9.249/1995, arts. 15 e 20</t>
        </is>
      </c>
    </row>
    <row r="199">
      <c r="A199" s="5" t="inlineStr">
        <is>
          <t>E6-LP</t>
        </is>
      </c>
      <c r="B199" s="6" t="inlineStr">
        <is>
          <t>4º tri - CSLL</t>
        </is>
      </c>
      <c r="C199" s="6" t="inlineStr">
        <is>
          <t>R$ 664.000,00 x 9%</t>
        </is>
      </c>
      <c r="D199" s="7" t="n">
        <v>59760</v>
      </c>
      <c r="E199" s="6" t="inlineStr">
        <is>
          <t>Lei 7.689/1988, art. 3º</t>
        </is>
      </c>
    </row>
    <row r="200">
      <c r="A200" s="5" t="inlineStr">
        <is>
          <t>E6-LP</t>
        </is>
      </c>
      <c r="B200" s="6" t="inlineStr">
        <is>
          <t>PIS cumulativo</t>
        </is>
      </c>
      <c r="C200" s="6" t="inlineStr">
        <is>
          <t>R$ 8.000.000,00 x 0,65%</t>
        </is>
      </c>
      <c r="D200" s="7" t="n">
        <v>52000</v>
      </c>
      <c r="E200" s="6" t="inlineStr">
        <is>
          <t>Lei 9.715/1998</t>
        </is>
      </c>
    </row>
    <row r="201">
      <c r="A201" s="5" t="inlineStr">
        <is>
          <t>E6-LP</t>
        </is>
      </c>
      <c r="B201" s="6" t="inlineStr">
        <is>
          <t>Cofins cumulativa</t>
        </is>
      </c>
      <c r="C201" s="6" t="inlineStr">
        <is>
          <t>R$ 8.000.000,00 x 3,00%</t>
        </is>
      </c>
      <c r="D201" s="7" t="n">
        <v>240000</v>
      </c>
      <c r="E201" s="6" t="inlineStr">
        <is>
          <t>Lei 9.718/1998</t>
        </is>
      </c>
    </row>
    <row r="202">
      <c r="A202" s="5" t="inlineStr">
        <is>
          <t>E6-LP</t>
        </is>
      </c>
      <c r="B202" s="6" t="inlineStr">
        <is>
          <t>ISS</t>
        </is>
      </c>
      <c r="C202" s="6" t="inlineStr">
        <is>
          <t>R$ 8.000.000,00 x 5,00%</t>
        </is>
      </c>
      <c r="D202" s="7" t="n">
        <v>400000</v>
      </c>
      <c r="E202" s="6" t="inlineStr">
        <is>
          <t>LC 116/2003 e lei municipal</t>
        </is>
      </c>
    </row>
    <row r="203">
      <c r="A203" s="5" t="inlineStr">
        <is>
          <t>E6-LP</t>
        </is>
      </c>
      <c r="B203" s="6" t="inlineStr">
        <is>
          <t>INSS patronal sobre a folha CLT</t>
        </is>
      </c>
      <c r="C203" s="6" t="inlineStr">
        <is>
          <t>R$ 1.500.000,00 x (20,00% CPP + 2,00% RAT + 5,80% terceiros)</t>
        </is>
      </c>
      <c r="D203" s="7" t="n">
        <v>417000</v>
      </c>
      <c r="E203" s="6" t="inlineStr">
        <is>
          <t>Lei 8.212/1991, art. 22, I e II</t>
        </is>
      </c>
    </row>
    <row r="204">
      <c r="A204" s="5" t="inlineStr">
        <is>
          <t>E6-LP</t>
        </is>
      </c>
      <c r="B204" s="6" t="inlineStr">
        <is>
          <t>INSS patronal sobre o pró-labore</t>
        </is>
      </c>
      <c r="C204" s="6" t="inlineStr">
        <is>
          <t>R$ 120.000,00 x 20,00%</t>
        </is>
      </c>
      <c r="D204" s="7" t="n">
        <v>24000</v>
      </c>
      <c r="E204" s="6" t="inlineStr">
        <is>
          <t>Lei 8.212/1991, art. 22, III</t>
        </is>
      </c>
    </row>
    <row r="205">
      <c r="A205" s="5" t="inlineStr">
        <is>
          <t>E6-LR</t>
        </is>
      </c>
      <c r="B205" s="6" t="inlineStr">
        <is>
          <t>PIS - débito</t>
        </is>
      </c>
      <c r="C205" s="6" t="inlineStr">
        <is>
          <t>R$ 8.000.000,00 x 1,65%</t>
        </is>
      </c>
      <c r="D205" s="7" t="n">
        <v>132000</v>
      </c>
      <c r="E205" s="6" t="inlineStr">
        <is>
          <t>Lei 10.637/2002</t>
        </is>
      </c>
    </row>
    <row r="206">
      <c r="A206" s="5" t="inlineStr">
        <is>
          <t>E6-LR</t>
        </is>
      </c>
      <c r="B206" s="6" t="inlineStr">
        <is>
          <t>PIS - crédito</t>
        </is>
      </c>
      <c r="C206" s="6" t="inlineStr">
        <is>
          <t>(R$ 0,00 compras + R$ 0,00 despesas creditáveis) x 1,65%</t>
        </is>
      </c>
      <c r="D206" s="7" t="n">
        <v>0</v>
      </c>
      <c r="E206" s="6" t="inlineStr">
        <is>
          <t>Lei 10.637/2002, art. 3º</t>
        </is>
      </c>
    </row>
    <row r="207">
      <c r="A207" s="5" t="inlineStr">
        <is>
          <t>E6-LR</t>
        </is>
      </c>
      <c r="B207" s="6" t="inlineStr">
        <is>
          <t>Cofins - débito</t>
        </is>
      </c>
      <c r="C207" s="6" t="inlineStr">
        <is>
          <t>R$ 8.000.000,00 x 7,60%</t>
        </is>
      </c>
      <c r="D207" s="7" t="n">
        <v>608000</v>
      </c>
      <c r="E207" s="6" t="inlineStr">
        <is>
          <t>Lei 10.833/2003</t>
        </is>
      </c>
    </row>
    <row r="208">
      <c r="A208" s="5" t="inlineStr">
        <is>
          <t>E6-LR</t>
        </is>
      </c>
      <c r="B208" s="6" t="inlineStr">
        <is>
          <t>Cofins - crédito</t>
        </is>
      </c>
      <c r="C208" s="6" t="inlineStr">
        <is>
          <t>(R$ 0,00 compras + R$ 0,00 despesas creditáveis) x 7,60%</t>
        </is>
      </c>
      <c r="D208" s="7" t="n">
        <v>0</v>
      </c>
      <c r="E208" s="6" t="inlineStr">
        <is>
          <t>Lei 10.833/2003, art. 3º</t>
        </is>
      </c>
    </row>
    <row r="209">
      <c r="A209" s="5" t="inlineStr">
        <is>
          <t>E6-LR</t>
        </is>
      </c>
      <c r="B209" s="6" t="inlineStr">
        <is>
          <t>ISS</t>
        </is>
      </c>
      <c r="C209" s="6" t="inlineStr">
        <is>
          <t>R$ 8.000.000,00 x 5,00%</t>
        </is>
      </c>
      <c r="D209" s="7" t="n">
        <v>400000</v>
      </c>
      <c r="E209" s="6" t="inlineStr">
        <is>
          <t>LC 116/2003 e lei municipal</t>
        </is>
      </c>
    </row>
    <row r="210">
      <c r="A210" s="5" t="inlineStr">
        <is>
          <t>E6-LR</t>
        </is>
      </c>
      <c r="B210" s="6" t="inlineStr">
        <is>
          <t>INSS patronal sobre a folha CLT</t>
        </is>
      </c>
      <c r="C210" s="6" t="inlineStr">
        <is>
          <t>R$ 1.500.000,00 x (20,00% CPP + 2,00% RAT + 5,80% terceiros)</t>
        </is>
      </c>
      <c r="D210" s="7" t="n">
        <v>417000</v>
      </c>
      <c r="E210" s="6" t="inlineStr">
        <is>
          <t>Lei 8.212/1991, art. 22, I e II</t>
        </is>
      </c>
    </row>
    <row r="211">
      <c r="A211" s="5" t="inlineStr">
        <is>
          <t>E6-LR</t>
        </is>
      </c>
      <c r="B211" s="6" t="inlineStr">
        <is>
          <t>INSS patronal sobre o pró-labore</t>
        </is>
      </c>
      <c r="C211" s="6" t="inlineStr">
        <is>
          <t>R$ 120.000,00 x 20,00%</t>
        </is>
      </c>
      <c r="D211" s="7" t="n">
        <v>24000</v>
      </c>
      <c r="E211" s="6" t="inlineStr">
        <is>
          <t>Lei 8.212/1991, art. 22, III</t>
        </is>
      </c>
    </row>
    <row r="212">
      <c r="A212" s="5" t="inlineStr">
        <is>
          <t>E6-LR</t>
        </is>
      </c>
      <c r="B212" s="6" t="inlineStr">
        <is>
          <t>Lucro antes do IRPJ/CSLL</t>
        </is>
      </c>
      <c r="C212" s="6" t="inlineStr">
        <is>
          <t>R$ 8.000.000,00 receita - R$ 0,00 compras - R$ 2.000.000,00 despesas - R$ 1.620.000,00 folha e pró-labore - R$ 120.000,00 FGTS - R$ 1.581.000,00 tributos dedutíveis</t>
        </is>
      </c>
      <c r="D212" s="7" t="n">
        <v>2679000</v>
      </c>
      <c r="E212" s="6" t="inlineStr">
        <is>
          <t>Lei 6.404/1976 (DRE)</t>
        </is>
      </c>
    </row>
    <row r="213">
      <c r="A213" s="5" t="inlineStr">
        <is>
          <t>E6-LR</t>
        </is>
      </c>
      <c r="B213" s="6" t="inlineStr">
        <is>
          <t>IRPJ</t>
        </is>
      </c>
      <c r="C213" s="6" t="inlineStr">
        <is>
          <t>R$ 2.679.000,00 x 15% + 10% sobre o que exceder R$ 240.000,00</t>
        </is>
      </c>
      <c r="D213" s="7" t="n">
        <v>645750</v>
      </c>
      <c r="E213" s="6" t="inlineStr">
        <is>
          <t>Lei 9.249/1995, art. 3º; Lei 9.430/1996, art. 2º</t>
        </is>
      </c>
    </row>
    <row r="214">
      <c r="A214" s="5" t="inlineStr">
        <is>
          <t>E6-LR</t>
        </is>
      </c>
      <c r="B214" s="6" t="inlineStr">
        <is>
          <t>CSLL</t>
        </is>
      </c>
      <c r="C214" s="6" t="inlineStr">
        <is>
          <t>R$ 2.679.000,00 x 9%</t>
        </is>
      </c>
      <c r="D214" s="7" t="n">
        <v>241110</v>
      </c>
      <c r="E214" s="6" t="inlineStr">
        <is>
          <t>Lei 7.689/1988, art. 3º</t>
        </is>
      </c>
    </row>
    <row r="215">
      <c r="A215" s="5" t="inlineStr">
        <is>
          <t>E7-SN</t>
        </is>
      </c>
      <c r="B215" s="6" t="inlineStr">
        <is>
          <t>Fator R (folha 12 meses / RBT12)</t>
        </is>
      </c>
      <c r="C215" s="6" t="inlineStr">
        <is>
          <t>R$ 210.000,00 (salários + pró-labore + FGTS 8%) / R$ 1.200.000,00 = 17,50% -&gt; Anexo V</t>
        </is>
      </c>
      <c r="D215" s="19" t="n">
        <v>0.175</v>
      </c>
      <c r="E215" s="6" t="inlineStr">
        <is>
          <t>LC 123/2006, art. 18, §5º-J, §5º-M e §24</t>
        </is>
      </c>
    </row>
    <row r="216">
      <c r="A216" s="5" t="inlineStr">
        <is>
          <t>E7-SN</t>
        </is>
      </c>
      <c r="B216" s="6" t="inlineStr">
        <is>
          <t>Alíquota efetiva - Anexo V, 4ª faixa</t>
        </is>
      </c>
      <c r="C216" s="6" t="inlineStr">
        <is>
          <t>(R$ 1.200.000,00 x 20,50% - R$ 17.100,00) / R$ 1.200.000,00 = 19,0750%</t>
        </is>
      </c>
      <c r="D216" s="19" t="n">
        <v>0.19075</v>
      </c>
      <c r="E216" s="6" t="inlineStr">
        <is>
          <t>LC 123/2006, art. 18, §1º e §1º-A</t>
        </is>
      </c>
    </row>
    <row r="217">
      <c r="A217" s="5" t="inlineStr">
        <is>
          <t>E7-SN</t>
        </is>
      </c>
      <c r="B217" s="6" t="inlineStr">
        <is>
          <t>DAS anual</t>
        </is>
      </c>
      <c r="C217" s="6" t="inlineStr">
        <is>
          <t>R$ 1.200.000,00 x 19,0750%</t>
        </is>
      </c>
      <c r="D217" s="7" t="n">
        <v>228900</v>
      </c>
      <c r="E217" s="6" t="inlineStr">
        <is>
          <t>LC 123/2006, art. 13</t>
        </is>
      </c>
    </row>
    <row r="218">
      <c r="A218" s="5" t="inlineStr">
        <is>
          <t>E7-LP</t>
        </is>
      </c>
      <c r="B218" s="6" t="inlineStr">
        <is>
          <t>Percentuais de presunção</t>
        </is>
      </c>
      <c r="C218" s="6" t="inlineStr">
        <is>
          <t>Prestação de serviços em geral: IRPJ 32,0%, CSLL 32,0%</t>
        </is>
      </c>
      <c r="D218" s="19" t="n">
        <v>0.32</v>
      </c>
      <c r="E218" s="6" t="inlineStr">
        <is>
          <t>Lei 9.249/1995, art. 15, §1º e art. 20</t>
        </is>
      </c>
    </row>
    <row r="219">
      <c r="A219" s="5" t="inlineStr">
        <is>
          <t>E7-LP</t>
        </is>
      </c>
      <c r="B219" s="6" t="inlineStr">
        <is>
          <t>1º tri - base presumida IRPJ</t>
        </is>
      </c>
      <c r="C219" s="6" t="inlineStr">
        <is>
          <t>R$ 300.000,00 x 32,0%</t>
        </is>
      </c>
      <c r="D219" s="7" t="n">
        <v>96000</v>
      </c>
      <c r="E219" s="6" t="inlineStr">
        <is>
          <t>Lei 9.249/1995, arts. 15 e 20</t>
        </is>
      </c>
    </row>
    <row r="220">
      <c r="A220" s="5" t="inlineStr">
        <is>
          <t>E7-LP</t>
        </is>
      </c>
      <c r="B220" s="6" t="inlineStr">
        <is>
          <t>1º tri - IRPJ</t>
        </is>
      </c>
      <c r="C220" s="6" t="inlineStr">
        <is>
          <t>R$ 96.000,00 x 15% + adicional 10% sobre o que exceder R$ 60.000,00</t>
        </is>
      </c>
      <c r="D220" s="7" t="n">
        <v>18000</v>
      </c>
      <c r="E220" s="6" t="inlineStr">
        <is>
          <t>Lei 9.430/1996, arts. 3º e 4º</t>
        </is>
      </c>
    </row>
    <row r="221">
      <c r="A221" s="5" t="inlineStr">
        <is>
          <t>E7-LP</t>
        </is>
      </c>
      <c r="B221" s="6" t="inlineStr">
        <is>
          <t>1º tri - base presumida CSLL</t>
        </is>
      </c>
      <c r="C221" s="6" t="inlineStr">
        <is>
          <t>R$ 300.000,00 x 32,0%</t>
        </is>
      </c>
      <c r="D221" s="7" t="n">
        <v>96000</v>
      </c>
      <c r="E221" s="6" t="inlineStr">
        <is>
          <t>Lei 9.249/1995, arts. 15 e 20</t>
        </is>
      </c>
    </row>
    <row r="222">
      <c r="A222" s="5" t="inlineStr">
        <is>
          <t>E7-LP</t>
        </is>
      </c>
      <c r="B222" s="6" t="inlineStr">
        <is>
          <t>1º tri - CSLL</t>
        </is>
      </c>
      <c r="C222" s="6" t="inlineStr">
        <is>
          <t>R$ 96.000,00 x 9%</t>
        </is>
      </c>
      <c r="D222" s="7" t="n">
        <v>8640</v>
      </c>
      <c r="E222" s="6" t="inlineStr">
        <is>
          <t>Lei 7.689/1988, art. 3º</t>
        </is>
      </c>
    </row>
    <row r="223">
      <c r="A223" s="5" t="inlineStr">
        <is>
          <t>E7-LP</t>
        </is>
      </c>
      <c r="B223" s="6" t="inlineStr">
        <is>
          <t>2º tri - base presumida IRPJ</t>
        </is>
      </c>
      <c r="C223" s="6" t="inlineStr">
        <is>
          <t>R$ 300.000,00 x 32,0%</t>
        </is>
      </c>
      <c r="D223" s="7" t="n">
        <v>96000</v>
      </c>
      <c r="E223" s="6" t="inlineStr">
        <is>
          <t>Lei 9.249/1995, arts. 15 e 20</t>
        </is>
      </c>
    </row>
    <row r="224">
      <c r="A224" s="5" t="inlineStr">
        <is>
          <t>E7-LP</t>
        </is>
      </c>
      <c r="B224" s="6" t="inlineStr">
        <is>
          <t>2º tri - IRPJ</t>
        </is>
      </c>
      <c r="C224" s="6" t="inlineStr">
        <is>
          <t>R$ 96.000,00 x 15% + adicional 10% sobre o que exceder R$ 60.000,00</t>
        </is>
      </c>
      <c r="D224" s="7" t="n">
        <v>18000</v>
      </c>
      <c r="E224" s="6" t="inlineStr">
        <is>
          <t>Lei 9.430/1996, arts. 3º e 4º</t>
        </is>
      </c>
    </row>
    <row r="225">
      <c r="A225" s="5" t="inlineStr">
        <is>
          <t>E7-LP</t>
        </is>
      </c>
      <c r="B225" s="6" t="inlineStr">
        <is>
          <t>2º tri - base presumida CSLL</t>
        </is>
      </c>
      <c r="C225" s="6" t="inlineStr">
        <is>
          <t>R$ 300.000,00 x 32,0%</t>
        </is>
      </c>
      <c r="D225" s="7" t="n">
        <v>96000</v>
      </c>
      <c r="E225" s="6" t="inlineStr">
        <is>
          <t>Lei 9.249/1995, arts. 15 e 20</t>
        </is>
      </c>
    </row>
    <row r="226">
      <c r="A226" s="5" t="inlineStr">
        <is>
          <t>E7-LP</t>
        </is>
      </c>
      <c r="B226" s="6" t="inlineStr">
        <is>
          <t>2º tri - CSLL</t>
        </is>
      </c>
      <c r="C226" s="6" t="inlineStr">
        <is>
          <t>R$ 96.000,00 x 9%</t>
        </is>
      </c>
      <c r="D226" s="7" t="n">
        <v>8640</v>
      </c>
      <c r="E226" s="6" t="inlineStr">
        <is>
          <t>Lei 7.689/1988, art. 3º</t>
        </is>
      </c>
    </row>
    <row r="227">
      <c r="A227" s="5" t="inlineStr">
        <is>
          <t>E7-LP</t>
        </is>
      </c>
      <c r="B227" s="6" t="inlineStr">
        <is>
          <t>3º tri - base presumida IRPJ</t>
        </is>
      </c>
      <c r="C227" s="6" t="inlineStr">
        <is>
          <t>R$ 300.000,00 x 32,0%</t>
        </is>
      </c>
      <c r="D227" s="7" t="n">
        <v>96000</v>
      </c>
      <c r="E227" s="6" t="inlineStr">
        <is>
          <t>Lei 9.249/1995, arts. 15 e 20</t>
        </is>
      </c>
    </row>
    <row r="228">
      <c r="A228" s="5" t="inlineStr">
        <is>
          <t>E7-LP</t>
        </is>
      </c>
      <c r="B228" s="6" t="inlineStr">
        <is>
          <t>3º tri - IRPJ</t>
        </is>
      </c>
      <c r="C228" s="6" t="inlineStr">
        <is>
          <t>R$ 96.000,00 x 15% + adicional 10% sobre o que exceder R$ 60.000,00</t>
        </is>
      </c>
      <c r="D228" s="7" t="n">
        <v>18000</v>
      </c>
      <c r="E228" s="6" t="inlineStr">
        <is>
          <t>Lei 9.430/1996, arts. 3º e 4º</t>
        </is>
      </c>
    </row>
    <row r="229">
      <c r="A229" s="5" t="inlineStr">
        <is>
          <t>E7-LP</t>
        </is>
      </c>
      <c r="B229" s="6" t="inlineStr">
        <is>
          <t>3º tri - base presumida CSLL</t>
        </is>
      </c>
      <c r="C229" s="6" t="inlineStr">
        <is>
          <t>R$ 300.000,00 x 32,0%</t>
        </is>
      </c>
      <c r="D229" s="7" t="n">
        <v>96000</v>
      </c>
      <c r="E229" s="6" t="inlineStr">
        <is>
          <t>Lei 9.249/1995, arts. 15 e 20</t>
        </is>
      </c>
    </row>
    <row r="230">
      <c r="A230" s="5" t="inlineStr">
        <is>
          <t>E7-LP</t>
        </is>
      </c>
      <c r="B230" s="6" t="inlineStr">
        <is>
          <t>3º tri - CSLL</t>
        </is>
      </c>
      <c r="C230" s="6" t="inlineStr">
        <is>
          <t>R$ 96.000,00 x 9%</t>
        </is>
      </c>
      <c r="D230" s="7" t="n">
        <v>8640</v>
      </c>
      <c r="E230" s="6" t="inlineStr">
        <is>
          <t>Lei 7.689/1988, art. 3º</t>
        </is>
      </c>
    </row>
    <row r="231">
      <c r="A231" s="5" t="inlineStr">
        <is>
          <t>E7-LP</t>
        </is>
      </c>
      <c r="B231" s="6" t="inlineStr">
        <is>
          <t>4º tri - base presumida IRPJ</t>
        </is>
      </c>
      <c r="C231" s="6" t="inlineStr">
        <is>
          <t>R$ 300.000,00 x 32,0%</t>
        </is>
      </c>
      <c r="D231" s="7" t="n">
        <v>96000</v>
      </c>
      <c r="E231" s="6" t="inlineStr">
        <is>
          <t>Lei 9.249/1995, arts. 15 e 20</t>
        </is>
      </c>
    </row>
    <row r="232">
      <c r="A232" s="5" t="inlineStr">
        <is>
          <t>E7-LP</t>
        </is>
      </c>
      <c r="B232" s="6" t="inlineStr">
        <is>
          <t>4º tri - IRPJ</t>
        </is>
      </c>
      <c r="C232" s="6" t="inlineStr">
        <is>
          <t>R$ 96.000,00 x 15% + adicional 10% sobre o que exceder R$ 60.000,00</t>
        </is>
      </c>
      <c r="D232" s="7" t="n">
        <v>18000</v>
      </c>
      <c r="E232" s="6" t="inlineStr">
        <is>
          <t>Lei 9.430/1996, arts. 3º e 4º</t>
        </is>
      </c>
    </row>
    <row r="233">
      <c r="A233" s="5" t="inlineStr">
        <is>
          <t>E7-LP</t>
        </is>
      </c>
      <c r="B233" s="6" t="inlineStr">
        <is>
          <t>4º tri - base presumida CSLL</t>
        </is>
      </c>
      <c r="C233" s="6" t="inlineStr">
        <is>
          <t>R$ 300.000,00 x 32,0%</t>
        </is>
      </c>
      <c r="D233" s="7" t="n">
        <v>96000</v>
      </c>
      <c r="E233" s="6" t="inlineStr">
        <is>
          <t>Lei 9.249/1995, arts. 15 e 20</t>
        </is>
      </c>
    </row>
    <row r="234">
      <c r="A234" s="5" t="inlineStr">
        <is>
          <t>E7-LP</t>
        </is>
      </c>
      <c r="B234" s="6" t="inlineStr">
        <is>
          <t>4º tri - CSLL</t>
        </is>
      </c>
      <c r="C234" s="6" t="inlineStr">
        <is>
          <t>R$ 96.000,00 x 9%</t>
        </is>
      </c>
      <c r="D234" s="7" t="n">
        <v>8640</v>
      </c>
      <c r="E234" s="6" t="inlineStr">
        <is>
          <t>Lei 7.689/1988, art. 3º</t>
        </is>
      </c>
    </row>
    <row r="235">
      <c r="A235" s="5" t="inlineStr">
        <is>
          <t>E7-LP</t>
        </is>
      </c>
      <c r="B235" s="6" t="inlineStr">
        <is>
          <t>PIS cumulativo</t>
        </is>
      </c>
      <c r="C235" s="6" t="inlineStr">
        <is>
          <t>R$ 1.200.000,00 x 0,65%</t>
        </is>
      </c>
      <c r="D235" s="7" t="n">
        <v>7800</v>
      </c>
      <c r="E235" s="6" t="inlineStr">
        <is>
          <t>Lei 9.715/1998</t>
        </is>
      </c>
    </row>
    <row r="236">
      <c r="A236" s="5" t="inlineStr">
        <is>
          <t>E7-LP</t>
        </is>
      </c>
      <c r="B236" s="6" t="inlineStr">
        <is>
          <t>Cofins cumulativa</t>
        </is>
      </c>
      <c r="C236" s="6" t="inlineStr">
        <is>
          <t>R$ 1.200.000,00 x 3,00%</t>
        </is>
      </c>
      <c r="D236" s="7" t="n">
        <v>36000</v>
      </c>
      <c r="E236" s="6" t="inlineStr">
        <is>
          <t>Lei 9.718/1998</t>
        </is>
      </c>
    </row>
    <row r="237">
      <c r="A237" s="5" t="inlineStr">
        <is>
          <t>E7-LP</t>
        </is>
      </c>
      <c r="B237" s="6" t="inlineStr">
        <is>
          <t>ISS</t>
        </is>
      </c>
      <c r="C237" s="6" t="inlineStr">
        <is>
          <t>R$ 1.200.000,00 x 5,00%</t>
        </is>
      </c>
      <c r="D237" s="7" t="n">
        <v>60000</v>
      </c>
      <c r="E237" s="6" t="inlineStr">
        <is>
          <t>LC 116/2003 e lei municipal</t>
        </is>
      </c>
    </row>
    <row r="238">
      <c r="A238" s="5" t="inlineStr">
        <is>
          <t>E7-LP</t>
        </is>
      </c>
      <c r="B238" s="6" t="inlineStr">
        <is>
          <t>INSS patronal sobre a folha CLT</t>
        </is>
      </c>
      <c r="C238" s="6" t="inlineStr">
        <is>
          <t>R$ 150.000,00 x (20,00% CPP + 2,00% RAT + 5,80% terceiros)</t>
        </is>
      </c>
      <c r="D238" s="7" t="n">
        <v>41700</v>
      </c>
      <c r="E238" s="6" t="inlineStr">
        <is>
          <t>Lei 8.212/1991, art. 22, I e II</t>
        </is>
      </c>
    </row>
    <row r="239">
      <c r="A239" s="5" t="inlineStr">
        <is>
          <t>E7-LP</t>
        </is>
      </c>
      <c r="B239" s="6" t="inlineStr">
        <is>
          <t>INSS patronal sobre o pró-labore</t>
        </is>
      </c>
      <c r="C239" s="6" t="inlineStr">
        <is>
          <t>R$ 48.000,00 x 20,00%</t>
        </is>
      </c>
      <c r="D239" s="7" t="n">
        <v>9600</v>
      </c>
      <c r="E239" s="6" t="inlineStr">
        <is>
          <t>Lei 8.212/1991, art. 22, III</t>
        </is>
      </c>
    </row>
    <row r="240">
      <c r="A240" s="5" t="inlineStr">
        <is>
          <t>E7-LR</t>
        </is>
      </c>
      <c r="B240" s="6" t="inlineStr">
        <is>
          <t>PIS - débito</t>
        </is>
      </c>
      <c r="C240" s="6" t="inlineStr">
        <is>
          <t>R$ 1.200.000,00 x 1,65%</t>
        </is>
      </c>
      <c r="D240" s="7" t="n">
        <v>19800</v>
      </c>
      <c r="E240" s="6" t="inlineStr">
        <is>
          <t>Lei 10.637/2002</t>
        </is>
      </c>
    </row>
    <row r="241">
      <c r="A241" s="5" t="inlineStr">
        <is>
          <t>E7-LR</t>
        </is>
      </c>
      <c r="B241" s="6" t="inlineStr">
        <is>
          <t>PIS - crédito</t>
        </is>
      </c>
      <c r="C241" s="6" t="inlineStr">
        <is>
          <t>(R$ 0,00 compras + R$ 60.000,00 despesas creditáveis) x 1,65%</t>
        </is>
      </c>
      <c r="D241" s="7" t="n">
        <v>990</v>
      </c>
      <c r="E241" s="6" t="inlineStr">
        <is>
          <t>Lei 10.637/2002, art. 3º</t>
        </is>
      </c>
    </row>
    <row r="242">
      <c r="A242" s="5" t="inlineStr">
        <is>
          <t>E7-LR</t>
        </is>
      </c>
      <c r="B242" s="6" t="inlineStr">
        <is>
          <t>Cofins - débito</t>
        </is>
      </c>
      <c r="C242" s="6" t="inlineStr">
        <is>
          <t>R$ 1.200.000,00 x 7,60%</t>
        </is>
      </c>
      <c r="D242" s="7" t="n">
        <v>91200</v>
      </c>
      <c r="E242" s="6" t="inlineStr">
        <is>
          <t>Lei 10.833/2003</t>
        </is>
      </c>
    </row>
    <row r="243">
      <c r="A243" s="5" t="inlineStr">
        <is>
          <t>E7-LR</t>
        </is>
      </c>
      <c r="B243" s="6" t="inlineStr">
        <is>
          <t>Cofins - crédito</t>
        </is>
      </c>
      <c r="C243" s="6" t="inlineStr">
        <is>
          <t>(R$ 0,00 compras + R$ 60.000,00 despesas creditáveis) x 7,60%</t>
        </is>
      </c>
      <c r="D243" s="7" t="n">
        <v>4560</v>
      </c>
      <c r="E243" s="6" t="inlineStr">
        <is>
          <t>Lei 10.833/2003, art. 3º</t>
        </is>
      </c>
    </row>
    <row r="244">
      <c r="A244" s="5" t="inlineStr">
        <is>
          <t>E7-LR</t>
        </is>
      </c>
      <c r="B244" s="6" t="inlineStr">
        <is>
          <t>ISS</t>
        </is>
      </c>
      <c r="C244" s="6" t="inlineStr">
        <is>
          <t>R$ 1.200.000,00 x 5,00%</t>
        </is>
      </c>
      <c r="D244" s="7" t="n">
        <v>60000</v>
      </c>
      <c r="E244" s="6" t="inlineStr">
        <is>
          <t>LC 116/2003 e lei municipal</t>
        </is>
      </c>
    </row>
    <row r="245">
      <c r="A245" s="5" t="inlineStr">
        <is>
          <t>E7-LR</t>
        </is>
      </c>
      <c r="B245" s="6" t="inlineStr">
        <is>
          <t>INSS patronal sobre a folha CLT</t>
        </is>
      </c>
      <c r="C245" s="6" t="inlineStr">
        <is>
          <t>R$ 150.000,00 x (20,00% CPP + 2,00% RAT + 5,80% terceiros)</t>
        </is>
      </c>
      <c r="D245" s="7" t="n">
        <v>41700</v>
      </c>
      <c r="E245" s="6" t="inlineStr">
        <is>
          <t>Lei 8.212/1991, art. 22, I e II</t>
        </is>
      </c>
    </row>
    <row r="246">
      <c r="A246" s="5" t="inlineStr">
        <is>
          <t>E7-LR</t>
        </is>
      </c>
      <c r="B246" s="6" t="inlineStr">
        <is>
          <t>INSS patronal sobre o pró-labore</t>
        </is>
      </c>
      <c r="C246" s="6" t="inlineStr">
        <is>
          <t>R$ 48.000,00 x 20,00%</t>
        </is>
      </c>
      <c r="D246" s="7" t="n">
        <v>9600</v>
      </c>
      <c r="E246" s="6" t="inlineStr">
        <is>
          <t>Lei 8.212/1991, art. 22, III</t>
        </is>
      </c>
    </row>
    <row r="247">
      <c r="A247" s="5" t="inlineStr">
        <is>
          <t>E7-LR</t>
        </is>
      </c>
      <c r="B247" s="6" t="inlineStr">
        <is>
          <t>Lucro antes do IRPJ/CSLL</t>
        </is>
      </c>
      <c r="C247" s="6" t="inlineStr">
        <is>
          <t>R$ 1.200.000,00 receita - R$ 0,00 compras - R$ 360.000,00 despesas - R$ 198.000,00 folha e pró-labore - R$ 12.000,00 FGTS - R$ 216.750,00 tributos dedutíveis</t>
        </is>
      </c>
      <c r="D247" s="7" t="n">
        <v>413250</v>
      </c>
      <c r="E247" s="6" t="inlineStr">
        <is>
          <t>Lei 6.404/1976 (DRE)</t>
        </is>
      </c>
    </row>
    <row r="248">
      <c r="A248" s="5" t="inlineStr">
        <is>
          <t>E7-LR</t>
        </is>
      </c>
      <c r="B248" s="6" t="inlineStr">
        <is>
          <t>IRPJ</t>
        </is>
      </c>
      <c r="C248" s="6" t="inlineStr">
        <is>
          <t>R$ 413.250,00 x 15% + 10% sobre o que exceder R$ 240.000,00</t>
        </is>
      </c>
      <c r="D248" s="7" t="n">
        <v>79312.5</v>
      </c>
      <c r="E248" s="6" t="inlineStr">
        <is>
          <t>Lei 9.249/1995, art. 3º; Lei 9.430/1996, art. 2º</t>
        </is>
      </c>
    </row>
    <row r="249">
      <c r="A249" s="5" t="inlineStr">
        <is>
          <t>E7-LR</t>
        </is>
      </c>
      <c r="B249" s="6" t="inlineStr">
        <is>
          <t>CSLL</t>
        </is>
      </c>
      <c r="C249" s="6" t="inlineStr">
        <is>
          <t>R$ 413.250,00 x 9%</t>
        </is>
      </c>
      <c r="D249" s="7" t="n">
        <v>37192.5</v>
      </c>
      <c r="E249" s="6" t="inlineStr">
        <is>
          <t>Lei 7.689/1988, art. 3º</t>
        </is>
      </c>
    </row>
    <row r="250">
      <c r="A250" s="5" t="inlineStr">
        <is>
          <t>PF1</t>
        </is>
      </c>
      <c r="B250" s="6" t="inlineStr">
        <is>
          <t>Dedução aplicada</t>
        </is>
      </c>
      <c r="C250" s="6" t="inlineStr">
        <is>
          <t>maior entre deduções legais R$ 308,60 e desconto simplificado R$ 607,20</t>
        </is>
      </c>
      <c r="D250" s="7" t="n">
        <v>607.2</v>
      </c>
      <c r="E250" s="6" t="inlineStr">
        <is>
          <t>Lei 9.250/1995, art. 4º; Lei 15.191/2025</t>
        </is>
      </c>
    </row>
    <row r="251">
      <c r="A251" s="5" t="inlineStr">
        <is>
          <t>PF1</t>
        </is>
      </c>
      <c r="B251" s="6" t="inlineStr">
        <is>
          <t>Base de cálculo</t>
        </is>
      </c>
      <c r="C251" s="6" t="inlineStr">
        <is>
          <t>R$ 3.500,00 - R$ 607,20</t>
        </is>
      </c>
      <c r="D251" s="7" t="n">
        <v>2892.8</v>
      </c>
      <c r="E251" s="6" t="inlineStr"/>
    </row>
    <row r="252">
      <c r="A252" s="5" t="inlineStr">
        <is>
          <t>PF1</t>
        </is>
      </c>
      <c r="B252" s="6" t="inlineStr">
        <is>
          <t>Imposto pela tabela progressiva</t>
        </is>
      </c>
      <c r="C252" s="6" t="inlineStr">
        <is>
          <t>R$ 2.892,80 x 15,0% - R$ 394,16</t>
        </is>
      </c>
      <c r="D252" s="7" t="n">
        <v>39.76</v>
      </c>
      <c r="E252" s="6" t="inlineStr">
        <is>
          <t>Lei 15.191/2025 (tabela) + Lei 15.270/2025 (redução)</t>
        </is>
      </c>
    </row>
    <row r="253">
      <c r="A253" s="5" t="inlineStr">
        <is>
          <t>PF1</t>
        </is>
      </c>
      <c r="B253" s="6" t="inlineStr">
        <is>
          <t>Redução Lei 15.270/2025</t>
        </is>
      </c>
      <c r="C253" s="6" t="inlineStr">
        <is>
          <t>rendimentos até R$ 5.000,00: redução até R$ 312,89</t>
        </is>
      </c>
      <c r="D253" s="7" t="n">
        <v>39.76</v>
      </c>
      <c r="E253" s="6" t="inlineStr">
        <is>
          <t>Lei 15.270/2025</t>
        </is>
      </c>
    </row>
    <row r="254">
      <c r="A254" s="5" t="inlineStr">
        <is>
          <t>PF2</t>
        </is>
      </c>
      <c r="B254" s="6" t="inlineStr">
        <is>
          <t>Dedução aplicada</t>
        </is>
      </c>
      <c r="C254" s="6" t="inlineStr">
        <is>
          <t>maior entre deduções legais R$ 501,51 e desconto simplificado R$ 607,20</t>
        </is>
      </c>
      <c r="D254" s="7" t="n">
        <v>607.2</v>
      </c>
      <c r="E254" s="6" t="inlineStr">
        <is>
          <t>Lei 9.250/1995, art. 4º; Lei 15.191/2025</t>
        </is>
      </c>
    </row>
    <row r="255">
      <c r="A255" s="5" t="inlineStr">
        <is>
          <t>PF2</t>
        </is>
      </c>
      <c r="B255" s="6" t="inlineStr">
        <is>
          <t>Base de cálculo</t>
        </is>
      </c>
      <c r="C255" s="6" t="inlineStr">
        <is>
          <t>R$ 5.000,00 - R$ 607,20</t>
        </is>
      </c>
      <c r="D255" s="7" t="n">
        <v>4392.8</v>
      </c>
      <c r="E255" s="6" t="inlineStr"/>
    </row>
    <row r="256">
      <c r="A256" s="5" t="inlineStr">
        <is>
          <t>PF2</t>
        </is>
      </c>
      <c r="B256" s="6" t="inlineStr">
        <is>
          <t>Imposto pela tabela progressiva</t>
        </is>
      </c>
      <c r="C256" s="6" t="inlineStr">
        <is>
          <t>R$ 4.392,80 x 22,5% - R$ 675,49</t>
        </is>
      </c>
      <c r="D256" s="7" t="n">
        <v>312.89</v>
      </c>
      <c r="E256" s="6" t="inlineStr">
        <is>
          <t>Lei 15.191/2025 (tabela) + Lei 15.270/2025 (redução)</t>
        </is>
      </c>
    </row>
    <row r="257">
      <c r="A257" s="5" t="inlineStr">
        <is>
          <t>PF2</t>
        </is>
      </c>
      <c r="B257" s="6" t="inlineStr">
        <is>
          <t>Redução Lei 15.270/2025</t>
        </is>
      </c>
      <c r="C257" s="6" t="inlineStr">
        <is>
          <t>rendimentos até R$ 5.000,00: redução até R$ 312,89</t>
        </is>
      </c>
      <c r="D257" s="7" t="n">
        <v>312.89</v>
      </c>
      <c r="E257" s="6" t="inlineStr">
        <is>
          <t>Lei 15.270/2025</t>
        </is>
      </c>
    </row>
    <row r="258">
      <c r="A258" s="5" t="inlineStr">
        <is>
          <t>PF3</t>
        </is>
      </c>
      <c r="B258" s="6" t="inlineStr">
        <is>
          <t>Dedução aplicada</t>
        </is>
      </c>
      <c r="C258" s="6" t="inlineStr">
        <is>
          <t>maior entre deduções legais R$ 627,51 e desconto simplificado R$ 607,20</t>
        </is>
      </c>
      <c r="D258" s="7" t="n">
        <v>627.51</v>
      </c>
      <c r="E258" s="6" t="inlineStr">
        <is>
          <t>Lei 9.250/1995, art. 4º; Lei 15.191/2025</t>
        </is>
      </c>
    </row>
    <row r="259">
      <c r="A259" s="5" t="inlineStr">
        <is>
          <t>PF3</t>
        </is>
      </c>
      <c r="B259" s="6" t="inlineStr">
        <is>
          <t>Base de cálculo</t>
        </is>
      </c>
      <c r="C259" s="6" t="inlineStr">
        <is>
          <t>R$ 5.900,00 - R$ 627,51</t>
        </is>
      </c>
      <c r="D259" s="7" t="n">
        <v>5272.49</v>
      </c>
      <c r="E259" s="6" t="inlineStr"/>
    </row>
    <row r="260">
      <c r="A260" s="5" t="inlineStr">
        <is>
          <t>PF3</t>
        </is>
      </c>
      <c r="B260" s="6" t="inlineStr">
        <is>
          <t>Imposto pela tabela progressiva</t>
        </is>
      </c>
      <c r="C260" s="6" t="inlineStr">
        <is>
          <t>R$ 5.272,49 x 27,5% - R$ 908,73</t>
        </is>
      </c>
      <c r="D260" s="7" t="n">
        <v>541.20475</v>
      </c>
      <c r="E260" s="6" t="inlineStr">
        <is>
          <t>Lei 15.191/2025 (tabela) + Lei 15.270/2025 (redução)</t>
        </is>
      </c>
    </row>
    <row r="261">
      <c r="A261" s="5" t="inlineStr">
        <is>
          <t>PF3</t>
        </is>
      </c>
      <c r="B261" s="6" t="inlineStr">
        <is>
          <t>Redução Lei 15.270/2025</t>
        </is>
      </c>
      <c r="C261" s="6" t="inlineStr">
        <is>
          <t>R$ 978,62 - 0.133145 x R$ 5.900,00</t>
        </is>
      </c>
      <c r="D261" s="7" t="n">
        <v>193.0645</v>
      </c>
      <c r="E261" s="6" t="inlineStr">
        <is>
          <t>Lei 15.270/2025</t>
        </is>
      </c>
    </row>
    <row r="262">
      <c r="A262" s="5" t="inlineStr">
        <is>
          <t>PF4</t>
        </is>
      </c>
      <c r="B262" s="6" t="inlineStr">
        <is>
          <t>Dedução aplicada</t>
        </is>
      </c>
      <c r="C262" s="6" t="inlineStr">
        <is>
          <t>maior entre deduções legais R$ 971,10 e desconto simplificado R$ 607,20</t>
        </is>
      </c>
      <c r="D262" s="7" t="n">
        <v>971.1</v>
      </c>
      <c r="E262" s="6" t="inlineStr">
        <is>
          <t>Lei 9.250/1995, art. 4º; Lei 15.191/2025</t>
        </is>
      </c>
    </row>
    <row r="263">
      <c r="A263" s="5" t="inlineStr">
        <is>
          <t>PF4</t>
        </is>
      </c>
      <c r="B263" s="6" t="inlineStr">
        <is>
          <t>Base de cálculo</t>
        </is>
      </c>
      <c r="C263" s="6" t="inlineStr">
        <is>
          <t>R$ 7.000,00 - R$ 971,10</t>
        </is>
      </c>
      <c r="D263" s="7" t="n">
        <v>6028.9</v>
      </c>
      <c r="E263" s="6" t="inlineStr"/>
    </row>
    <row r="264">
      <c r="A264" s="5" t="inlineStr">
        <is>
          <t>PF4</t>
        </is>
      </c>
      <c r="B264" s="6" t="inlineStr">
        <is>
          <t>Imposto pela tabela progressiva</t>
        </is>
      </c>
      <c r="C264" s="6" t="inlineStr">
        <is>
          <t>R$ 6.028,90 x 27,5% - R$ 908,73</t>
        </is>
      </c>
      <c r="D264" s="7" t="n">
        <v>749.2175</v>
      </c>
      <c r="E264" s="6" t="inlineStr">
        <is>
          <t>Lei 15.191/2025 (tabela) + Lei 15.270/2025 (redução)</t>
        </is>
      </c>
    </row>
    <row r="265">
      <c r="A265" s="5" t="inlineStr">
        <is>
          <t>PF4</t>
        </is>
      </c>
      <c r="B265" s="6" t="inlineStr">
        <is>
          <t>Redução Lei 15.270/2025</t>
        </is>
      </c>
      <c r="C265" s="6" t="inlineStr">
        <is>
          <t>R$ 978,62 - 0.133145 x R$ 7.000,00</t>
        </is>
      </c>
      <c r="D265" s="7" t="n">
        <v>46.605</v>
      </c>
      <c r="E265" s="6" t="inlineStr">
        <is>
          <t>Lei 15.270/2025</t>
        </is>
      </c>
    </row>
    <row r="266">
      <c r="A266" s="5" t="inlineStr">
        <is>
          <t>PF5</t>
        </is>
      </c>
      <c r="B266" s="6" t="inlineStr">
        <is>
          <t>Dedução aplicada</t>
        </is>
      </c>
      <c r="C266" s="6" t="inlineStr">
        <is>
          <t>maior entre deduções legais R$ 1.367,27 e desconto simplificado R$ 607,20</t>
        </is>
      </c>
      <c r="D266" s="7" t="n">
        <v>1367.27</v>
      </c>
      <c r="E266" s="6" t="inlineStr">
        <is>
          <t>Lei 9.250/1995, art. 4º; Lei 15.191/2025</t>
        </is>
      </c>
    </row>
    <row r="267">
      <c r="A267" s="5" t="inlineStr">
        <is>
          <t>PF5</t>
        </is>
      </c>
      <c r="B267" s="6" t="inlineStr">
        <is>
          <t>Base de cálculo</t>
        </is>
      </c>
      <c r="C267" s="6" t="inlineStr">
        <is>
          <t>R$ 12.000,00 - R$ 1.367,27</t>
        </is>
      </c>
      <c r="D267" s="7" t="n">
        <v>10632.73</v>
      </c>
      <c r="E267" s="6" t="inlineStr"/>
    </row>
    <row r="268">
      <c r="A268" s="5" t="inlineStr">
        <is>
          <t>PF5</t>
        </is>
      </c>
      <c r="B268" s="6" t="inlineStr">
        <is>
          <t>Imposto pela tabela progressiva</t>
        </is>
      </c>
      <c r="C268" s="6" t="inlineStr">
        <is>
          <t>R$ 10.632,73 x 27,5% - R$ 908,73</t>
        </is>
      </c>
      <c r="D268" s="7" t="n">
        <v>2015.27075</v>
      </c>
      <c r="E268" s="6" t="inlineStr">
        <is>
          <t>Lei 15.191/2025 (tabela) + Lei 15.270/2025 (redução)</t>
        </is>
      </c>
    </row>
    <row r="269">
      <c r="A269" s="5" t="inlineStr">
        <is>
          <t>PF5</t>
        </is>
      </c>
      <c r="B269" s="6" t="inlineStr">
        <is>
          <t>Redução Lei 15.270/2025</t>
        </is>
      </c>
      <c r="C269" s="6" t="inlineStr">
        <is>
          <t>rendimentos acima de R$ 7.350,00: sem redução</t>
        </is>
      </c>
      <c r="D269" s="7" t="n">
        <v>0</v>
      </c>
      <c r="E269" s="6" t="inlineStr">
        <is>
          <t>Lei 15.270/2025</t>
        </is>
      </c>
    </row>
    <row r="270">
      <c r="A270" s="5" t="inlineStr">
        <is>
          <t>SOC1-A</t>
        </is>
      </c>
      <c r="B270" s="6" t="inlineStr">
        <is>
          <t>INSS do sócio</t>
        </is>
      </c>
      <c r="C270" s="6" t="inlineStr">
        <is>
          <t>R$ 15.000,00 x 11% (limitado ao teto)</t>
        </is>
      </c>
      <c r="D270" s="7" t="n">
        <v>932.3099999999999</v>
      </c>
      <c r="E270" s="6" t="inlineStr">
        <is>
          <t>Lei 8.212/1991, art. 21 e 30, §4º</t>
        </is>
      </c>
    </row>
    <row r="271">
      <c r="A271" s="5" t="inlineStr">
        <is>
          <t>SOC1-A</t>
        </is>
      </c>
      <c r="B271" s="6" t="inlineStr">
        <is>
          <t>Dedução aplicada</t>
        </is>
      </c>
      <c r="C271" s="6" t="inlineStr">
        <is>
          <t>maior entre deduções legais R$ 932,31 e desconto simplificado R$ 607,20</t>
        </is>
      </c>
      <c r="D271" s="7" t="n">
        <v>932.3099999999999</v>
      </c>
      <c r="E271" s="6" t="inlineStr">
        <is>
          <t>Lei 9.250/1995, art. 4º; Lei 15.191/2025</t>
        </is>
      </c>
    </row>
    <row r="272">
      <c r="A272" s="5" t="inlineStr">
        <is>
          <t>SOC1-A</t>
        </is>
      </c>
      <c r="B272" s="6" t="inlineStr">
        <is>
          <t>Base de cálculo</t>
        </is>
      </c>
      <c r="C272" s="6" t="inlineStr">
        <is>
          <t>R$ 15.000,00 - R$ 932,31</t>
        </is>
      </c>
      <c r="D272" s="7" t="n">
        <v>14067.69</v>
      </c>
      <c r="E272" s="6" t="inlineStr"/>
    </row>
    <row r="273">
      <c r="A273" s="5" t="inlineStr">
        <is>
          <t>SOC1-A</t>
        </is>
      </c>
      <c r="B273" s="6" t="inlineStr">
        <is>
          <t>Imposto pela tabela progressiva</t>
        </is>
      </c>
      <c r="C273" s="6" t="inlineStr">
        <is>
          <t>R$ 14.067,69 x 27,5% - R$ 908,73</t>
        </is>
      </c>
      <c r="D273" s="7" t="n">
        <v>2959.88475</v>
      </c>
      <c r="E273" s="6" t="inlineStr">
        <is>
          <t>Lei 15.191/2025 (tabela) + Lei 15.270/2025 (redução)</t>
        </is>
      </c>
    </row>
    <row r="274">
      <c r="A274" s="5" t="inlineStr">
        <is>
          <t>SOC1-A</t>
        </is>
      </c>
      <c r="B274" s="6" t="inlineStr">
        <is>
          <t>Redução Lei 15.270/2025</t>
        </is>
      </c>
      <c r="C274" s="6" t="inlineStr">
        <is>
          <t>rendimentos acima de R$ 7.350,00: sem redução</t>
        </is>
      </c>
      <c r="D274" s="7" t="n">
        <v>0</v>
      </c>
      <c r="E274" s="6" t="inlineStr">
        <is>
          <t>Lei 15.270/2025</t>
        </is>
      </c>
    </row>
    <row r="275">
      <c r="A275" s="5" t="inlineStr">
        <is>
          <t>SOC1-A</t>
        </is>
      </c>
      <c r="B275" s="6" t="inlineStr">
        <is>
          <t>CPP patronal sobre pró-labore</t>
        </is>
      </c>
      <c r="C275" s="6" t="inlineStr">
        <is>
          <t>R$ 15.000,00 x 20%</t>
        </is>
      </c>
      <c r="D275" s="7" t="n">
        <v>3000</v>
      </c>
      <c r="E275" s="6" t="inlineStr">
        <is>
          <t>Lei 8.212/1991, art. 22, III</t>
        </is>
      </c>
    </row>
    <row r="276">
      <c r="A276" s="5" t="inlineStr">
        <is>
          <t>SOC1-B</t>
        </is>
      </c>
      <c r="B276" s="6" t="inlineStr">
        <is>
          <t>INSS do sócio</t>
        </is>
      </c>
      <c r="C276" s="6" t="inlineStr">
        <is>
          <t>R$ 1.621,00 x 11% (limitado ao teto)</t>
        </is>
      </c>
      <c r="D276" s="7" t="n">
        <v>178.31</v>
      </c>
      <c r="E276" s="6" t="inlineStr">
        <is>
          <t>Lei 8.212/1991, art. 21 e 30, §4º</t>
        </is>
      </c>
    </row>
    <row r="277">
      <c r="A277" s="5" t="inlineStr">
        <is>
          <t>SOC1-B</t>
        </is>
      </c>
      <c r="B277" s="6" t="inlineStr">
        <is>
          <t>Dedução aplicada</t>
        </is>
      </c>
      <c r="C277" s="6" t="inlineStr">
        <is>
          <t>maior entre deduções legais R$ 178,31 e desconto simplificado R$ 607,20</t>
        </is>
      </c>
      <c r="D277" s="7" t="n">
        <v>607.2</v>
      </c>
      <c r="E277" s="6" t="inlineStr">
        <is>
          <t>Lei 9.250/1995, art. 4º; Lei 15.191/2025</t>
        </is>
      </c>
    </row>
    <row r="278">
      <c r="A278" s="5" t="inlineStr">
        <is>
          <t>SOC1-B</t>
        </is>
      </c>
      <c r="B278" s="6" t="inlineStr">
        <is>
          <t>Base de cálculo</t>
        </is>
      </c>
      <c r="C278" s="6" t="inlineStr">
        <is>
          <t>R$ 1.621,00 - R$ 607,20</t>
        </is>
      </c>
      <c r="D278" s="7" t="n">
        <v>1013.8</v>
      </c>
      <c r="E278" s="6" t="inlineStr"/>
    </row>
    <row r="279">
      <c r="A279" s="5" t="inlineStr">
        <is>
          <t>SOC1-B</t>
        </is>
      </c>
      <c r="B279" s="6" t="inlineStr">
        <is>
          <t>Imposto pela tabela progressiva</t>
        </is>
      </c>
      <c r="C279" s="6" t="inlineStr">
        <is>
          <t>R$ 1.013,80 x 0,0% - R$ 0,00</t>
        </is>
      </c>
      <c r="D279" s="7" t="n">
        <v>0</v>
      </c>
      <c r="E279" s="6" t="inlineStr">
        <is>
          <t>Lei 15.191/2025 (tabela) + Lei 15.270/2025 (redução)</t>
        </is>
      </c>
    </row>
    <row r="280">
      <c r="A280" s="5" t="inlineStr">
        <is>
          <t>SOC1-B</t>
        </is>
      </c>
      <c r="B280" s="6" t="inlineStr">
        <is>
          <t>CPP patronal sobre pró-labore</t>
        </is>
      </c>
      <c r="C280" s="6" t="inlineStr">
        <is>
          <t>R$ 1.621,00 x 20%</t>
        </is>
      </c>
      <c r="D280" s="7" t="n">
        <v>324.2</v>
      </c>
      <c r="E280" s="6" t="inlineStr">
        <is>
          <t>Lei 8.212/1991, art. 22, III</t>
        </is>
      </c>
    </row>
    <row r="281">
      <c r="A281" s="5" t="inlineStr">
        <is>
          <t>SOC2-A</t>
        </is>
      </c>
      <c r="B281" s="6" t="inlineStr">
        <is>
          <t>INSS do sócio</t>
        </is>
      </c>
      <c r="C281" s="6" t="inlineStr">
        <is>
          <t>R$ 30.000,00 x 11% (limitado ao teto)</t>
        </is>
      </c>
      <c r="D281" s="7" t="n">
        <v>932.3099999999999</v>
      </c>
      <c r="E281" s="6" t="inlineStr">
        <is>
          <t>Lei 8.212/1991, art. 21 e 30, §4º</t>
        </is>
      </c>
    </row>
    <row r="282">
      <c r="A282" s="5" t="inlineStr">
        <is>
          <t>SOC2-A</t>
        </is>
      </c>
      <c r="B282" s="6" t="inlineStr">
        <is>
          <t>Dedução aplicada</t>
        </is>
      </c>
      <c r="C282" s="6" t="inlineStr">
        <is>
          <t>maior entre deduções legais R$ 932,31 e desconto simplificado R$ 607,20</t>
        </is>
      </c>
      <c r="D282" s="7" t="n">
        <v>932.3099999999999</v>
      </c>
      <c r="E282" s="6" t="inlineStr">
        <is>
          <t>Lei 9.250/1995, art. 4º; Lei 15.191/2025</t>
        </is>
      </c>
    </row>
    <row r="283">
      <c r="A283" s="5" t="inlineStr">
        <is>
          <t>SOC2-A</t>
        </is>
      </c>
      <c r="B283" s="6" t="inlineStr">
        <is>
          <t>Base de cálculo</t>
        </is>
      </c>
      <c r="C283" s="6" t="inlineStr">
        <is>
          <t>R$ 30.000,00 - R$ 932,31</t>
        </is>
      </c>
      <c r="D283" s="7" t="n">
        <v>29067.69</v>
      </c>
      <c r="E283" s="6" t="inlineStr"/>
    </row>
    <row r="284">
      <c r="A284" s="5" t="inlineStr">
        <is>
          <t>SOC2-A</t>
        </is>
      </c>
      <c r="B284" s="6" t="inlineStr">
        <is>
          <t>Imposto pela tabela progressiva</t>
        </is>
      </c>
      <c r="C284" s="6" t="inlineStr">
        <is>
          <t>R$ 29.067,69 x 27,5% - R$ 908,73</t>
        </is>
      </c>
      <c r="D284" s="7" t="n">
        <v>7084.88475</v>
      </c>
      <c r="E284" s="6" t="inlineStr">
        <is>
          <t>Lei 15.191/2025 (tabela) + Lei 15.270/2025 (redução)</t>
        </is>
      </c>
    </row>
    <row r="285">
      <c r="A285" s="5" t="inlineStr">
        <is>
          <t>SOC2-A</t>
        </is>
      </c>
      <c r="B285" s="6" t="inlineStr">
        <is>
          <t>Redução Lei 15.270/2025</t>
        </is>
      </c>
      <c r="C285" s="6" t="inlineStr">
        <is>
          <t>rendimentos acima de R$ 7.350,00: sem redução</t>
        </is>
      </c>
      <c r="D285" s="7" t="n">
        <v>0</v>
      </c>
      <c r="E285" s="6" t="inlineStr">
        <is>
          <t>Lei 15.270/2025</t>
        </is>
      </c>
    </row>
    <row r="286">
      <c r="A286" s="5" t="inlineStr">
        <is>
          <t>SOC2-A</t>
        </is>
      </c>
      <c r="B286" s="6" t="inlineStr">
        <is>
          <t>CPP patronal sobre pró-labore</t>
        </is>
      </c>
      <c r="C286" s="6" t="inlineStr">
        <is>
          <t>R$ 30.000,00 x 20%</t>
        </is>
      </c>
      <c r="D286" s="7" t="n">
        <v>6000</v>
      </c>
      <c r="E286" s="6" t="inlineStr">
        <is>
          <t>Lei 8.212/1991, art. 22, III</t>
        </is>
      </c>
    </row>
    <row r="287">
      <c r="A287" s="5" t="inlineStr">
        <is>
          <t>SOC2-A</t>
        </is>
      </c>
      <c r="B287" s="6" t="inlineStr">
        <is>
          <t>Pró-labore e CPP reduzem o lucro real</t>
        </is>
      </c>
      <c r="C287" s="6" t="inlineStr">
        <is>
          <t>R$ 36.000,00 x 34%</t>
        </is>
      </c>
      <c r="D287" s="7" t="n">
        <v>12240</v>
      </c>
      <c r="E287" s="6" t="inlineStr">
        <is>
          <t>RIR/2018 (Decreto 9.580/2018)</t>
        </is>
      </c>
    </row>
    <row r="288">
      <c r="A288" s="5" t="inlineStr">
        <is>
          <t>SOC2-B</t>
        </is>
      </c>
      <c r="B288" s="6" t="inlineStr">
        <is>
          <t>INSS do sócio</t>
        </is>
      </c>
      <c r="C288" s="6" t="inlineStr">
        <is>
          <t>R$ 1.621,00 x 11% (limitado ao teto)</t>
        </is>
      </c>
      <c r="D288" s="7" t="n">
        <v>178.31</v>
      </c>
      <c r="E288" s="6" t="inlineStr">
        <is>
          <t>Lei 8.212/1991, art. 21 e 30, §4º</t>
        </is>
      </c>
    </row>
    <row r="289">
      <c r="A289" s="5" t="inlineStr">
        <is>
          <t>SOC2-B</t>
        </is>
      </c>
      <c r="B289" s="6" t="inlineStr">
        <is>
          <t>Dedução aplicada</t>
        </is>
      </c>
      <c r="C289" s="6" t="inlineStr">
        <is>
          <t>maior entre deduções legais R$ 178,31 e desconto simplificado R$ 607,20</t>
        </is>
      </c>
      <c r="D289" s="7" t="n">
        <v>607.2</v>
      </c>
      <c r="E289" s="6" t="inlineStr">
        <is>
          <t>Lei 9.250/1995, art. 4º; Lei 15.191/2025</t>
        </is>
      </c>
    </row>
    <row r="290">
      <c r="A290" s="5" t="inlineStr">
        <is>
          <t>SOC2-B</t>
        </is>
      </c>
      <c r="B290" s="6" t="inlineStr">
        <is>
          <t>Base de cálculo</t>
        </is>
      </c>
      <c r="C290" s="6" t="inlineStr">
        <is>
          <t>R$ 1.621,00 - R$ 607,20</t>
        </is>
      </c>
      <c r="D290" s="7" t="n">
        <v>1013.8</v>
      </c>
      <c r="E290" s="6" t="inlineStr"/>
    </row>
    <row r="291">
      <c r="A291" s="5" t="inlineStr">
        <is>
          <t>SOC2-B</t>
        </is>
      </c>
      <c r="B291" s="6" t="inlineStr">
        <is>
          <t>Imposto pela tabela progressiva</t>
        </is>
      </c>
      <c r="C291" s="6" t="inlineStr">
        <is>
          <t>R$ 1.013,80 x 0,0% - R$ 0,00</t>
        </is>
      </c>
      <c r="D291" s="7" t="n">
        <v>0</v>
      </c>
      <c r="E291" s="6" t="inlineStr">
        <is>
          <t>Lei 15.191/2025 (tabela) + Lei 15.270/2025 (redução)</t>
        </is>
      </c>
    </row>
    <row r="292">
      <c r="A292" s="5" t="inlineStr">
        <is>
          <t>SOC2-B</t>
        </is>
      </c>
      <c r="B292" s="6" t="inlineStr">
        <is>
          <t>CPP patronal sobre pró-labore</t>
        </is>
      </c>
      <c r="C292" s="6" t="inlineStr">
        <is>
          <t>R$ 1.621,00 x 20%</t>
        </is>
      </c>
      <c r="D292" s="7" t="n">
        <v>324.2</v>
      </c>
      <c r="E292" s="6" t="inlineStr">
        <is>
          <t>Lei 8.212/1991, art. 22, III</t>
        </is>
      </c>
    </row>
    <row r="293">
      <c r="A293" s="5" t="inlineStr">
        <is>
          <t>SOC2-B</t>
        </is>
      </c>
      <c r="B293" s="6" t="inlineStr">
        <is>
          <t>Pró-labore e CPP reduzem o lucro real</t>
        </is>
      </c>
      <c r="C293" s="6" t="inlineStr">
        <is>
          <t>R$ 1.945,20 x 34%</t>
        </is>
      </c>
      <c r="D293" s="7" t="n">
        <v>661.3680000000001</v>
      </c>
      <c r="E293" s="6" t="inlineStr">
        <is>
          <t>RIR/2018 (Decreto 9.580/2018)</t>
        </is>
      </c>
    </row>
    <row r="294">
      <c r="A294" s="5" t="inlineStr">
        <is>
          <t>SOC3-A</t>
        </is>
      </c>
      <c r="B294" s="6" t="inlineStr">
        <is>
          <t>INSS do sócio</t>
        </is>
      </c>
      <c r="C294" s="6" t="inlineStr">
        <is>
          <t>R$ 80.000,00 x 11% (limitado ao teto)</t>
        </is>
      </c>
      <c r="D294" s="7" t="n">
        <v>932.3099999999999</v>
      </c>
      <c r="E294" s="6" t="inlineStr">
        <is>
          <t>Lei 8.212/1991, art. 21 e 30, §4º</t>
        </is>
      </c>
    </row>
    <row r="295">
      <c r="A295" s="5" t="inlineStr">
        <is>
          <t>SOC3-A</t>
        </is>
      </c>
      <c r="B295" s="6" t="inlineStr">
        <is>
          <t>Dedução aplicada</t>
        </is>
      </c>
      <c r="C295" s="6" t="inlineStr">
        <is>
          <t>maior entre deduções legais R$ 932,31 e desconto simplificado R$ 607,20</t>
        </is>
      </c>
      <c r="D295" s="7" t="n">
        <v>932.3099999999999</v>
      </c>
      <c r="E295" s="6" t="inlineStr">
        <is>
          <t>Lei 9.250/1995, art. 4º; Lei 15.191/2025</t>
        </is>
      </c>
    </row>
    <row r="296">
      <c r="A296" s="5" t="inlineStr">
        <is>
          <t>SOC3-A</t>
        </is>
      </c>
      <c r="B296" s="6" t="inlineStr">
        <is>
          <t>Base de cálculo</t>
        </is>
      </c>
      <c r="C296" s="6" t="inlineStr">
        <is>
          <t>R$ 80.000,00 - R$ 932,31</t>
        </is>
      </c>
      <c r="D296" s="7" t="n">
        <v>79067.69</v>
      </c>
      <c r="E296" s="6" t="inlineStr"/>
    </row>
    <row r="297">
      <c r="A297" s="5" t="inlineStr">
        <is>
          <t>SOC3-A</t>
        </is>
      </c>
      <c r="B297" s="6" t="inlineStr">
        <is>
          <t>Imposto pela tabela progressiva</t>
        </is>
      </c>
      <c r="C297" s="6" t="inlineStr">
        <is>
          <t>R$ 79.067,69 x 27,5% - R$ 908,73</t>
        </is>
      </c>
      <c r="D297" s="7" t="n">
        <v>20834.88475</v>
      </c>
      <c r="E297" s="6" t="inlineStr">
        <is>
          <t>Lei 15.191/2025 (tabela) + Lei 15.270/2025 (redução)</t>
        </is>
      </c>
    </row>
    <row r="298">
      <c r="A298" s="5" t="inlineStr">
        <is>
          <t>SOC3-A</t>
        </is>
      </c>
      <c r="B298" s="6" t="inlineStr">
        <is>
          <t>Redução Lei 15.270/2025</t>
        </is>
      </c>
      <c r="C298" s="6" t="inlineStr">
        <is>
          <t>rendimentos acima de R$ 7.350,00: sem redução</t>
        </is>
      </c>
      <c r="D298" s="7" t="n">
        <v>0</v>
      </c>
      <c r="E298" s="6" t="inlineStr">
        <is>
          <t>Lei 15.270/2025</t>
        </is>
      </c>
    </row>
    <row r="299">
      <c r="A299" s="5" t="inlineStr">
        <is>
          <t>SOC3-A</t>
        </is>
      </c>
      <c r="B299" s="6" t="inlineStr">
        <is>
          <t>CPP patronal sobre pró-labore</t>
        </is>
      </c>
      <c r="C299" s="6" t="inlineStr">
        <is>
          <t>R$ 80.000,00 x 20%</t>
        </is>
      </c>
      <c r="D299" s="7" t="n">
        <v>16000</v>
      </c>
      <c r="E299" s="6" t="inlineStr">
        <is>
          <t>Lei 8.212/1991, art. 22, III</t>
        </is>
      </c>
    </row>
    <row r="300">
      <c r="A300" s="5" t="inlineStr">
        <is>
          <t>SOC3-B</t>
        </is>
      </c>
      <c r="B300" s="6" t="inlineStr">
        <is>
          <t>INSS do sócio</t>
        </is>
      </c>
      <c r="C300" s="6" t="inlineStr">
        <is>
          <t>R$ 1.621,00 x 11% (limitado ao teto)</t>
        </is>
      </c>
      <c r="D300" s="7" t="n">
        <v>178.31</v>
      </c>
      <c r="E300" s="6" t="inlineStr">
        <is>
          <t>Lei 8.212/1991, art. 21 e 30, §4º</t>
        </is>
      </c>
    </row>
    <row r="301">
      <c r="A301" s="5" t="inlineStr">
        <is>
          <t>SOC3-B</t>
        </is>
      </c>
      <c r="B301" s="6" t="inlineStr">
        <is>
          <t>Dedução aplicada</t>
        </is>
      </c>
      <c r="C301" s="6" t="inlineStr">
        <is>
          <t>maior entre deduções legais R$ 178,31 e desconto simplificado R$ 607,20</t>
        </is>
      </c>
      <c r="D301" s="7" t="n">
        <v>607.2</v>
      </c>
      <c r="E301" s="6" t="inlineStr">
        <is>
          <t>Lei 9.250/1995, art. 4º; Lei 15.191/2025</t>
        </is>
      </c>
    </row>
    <row r="302">
      <c r="A302" s="5" t="inlineStr">
        <is>
          <t>SOC3-B</t>
        </is>
      </c>
      <c r="B302" s="6" t="inlineStr">
        <is>
          <t>Base de cálculo</t>
        </is>
      </c>
      <c r="C302" s="6" t="inlineStr">
        <is>
          <t>R$ 1.621,00 - R$ 607,20</t>
        </is>
      </c>
      <c r="D302" s="7" t="n">
        <v>1013.8</v>
      </c>
      <c r="E302" s="6" t="inlineStr"/>
    </row>
    <row r="303">
      <c r="A303" s="5" t="inlineStr">
        <is>
          <t>SOC3-B</t>
        </is>
      </c>
      <c r="B303" s="6" t="inlineStr">
        <is>
          <t>Imposto pela tabela progressiva</t>
        </is>
      </c>
      <c r="C303" s="6" t="inlineStr">
        <is>
          <t>R$ 1.013,80 x 0,0% - R$ 0,00</t>
        </is>
      </c>
      <c r="D303" s="7" t="n">
        <v>0</v>
      </c>
      <c r="E303" s="6" t="inlineStr">
        <is>
          <t>Lei 15.191/2025 (tabela) + Lei 15.270/2025 (redução)</t>
        </is>
      </c>
    </row>
    <row r="304">
      <c r="A304" s="5" t="inlineStr">
        <is>
          <t>SOC3-B</t>
        </is>
      </c>
      <c r="B304" s="6" t="inlineStr">
        <is>
          <t>CPP patronal sobre pró-labore</t>
        </is>
      </c>
      <c r="C304" s="6" t="inlineStr">
        <is>
          <t>R$ 1.621,00 x 20%</t>
        </is>
      </c>
      <c r="D304" s="7" t="n">
        <v>324.2</v>
      </c>
      <c r="E304" s="6" t="inlineStr">
        <is>
          <t>Lei 8.212/1991, art. 22, III</t>
        </is>
      </c>
    </row>
    <row r="305">
      <c r="A305" s="5" t="inlineStr">
        <is>
          <t>SOC3-B</t>
        </is>
      </c>
      <c r="B305" s="6" t="inlineStr">
        <is>
          <t>Retenção sobre dividendos</t>
        </is>
      </c>
      <c r="C305" s="6" t="inlineStr">
        <is>
          <t>R$ 78.379,00 x 10% (total do mês &gt; R$ 50 mil)</t>
        </is>
      </c>
      <c r="D305" s="7" t="n">
        <v>7837.9</v>
      </c>
      <c r="E305" s="6" t="inlineStr">
        <is>
          <t>Lei 9.249/1995, art. 6º-A (Lei 15.270/2025)</t>
        </is>
      </c>
    </row>
    <row r="306">
      <c r="A306" s="5" t="inlineStr">
        <is>
          <t>RT1-2025</t>
        </is>
      </c>
      <c r="B306" s="6" t="inlineStr">
        <is>
          <t>PIS/Cofins</t>
        </is>
      </c>
      <c r="C306" s="6" t="inlineStr">
        <is>
          <t>R$ 2.000.000,00 x 3,65%</t>
        </is>
      </c>
      <c r="D306" s="7" t="n">
        <v>73000</v>
      </c>
      <c r="E306" s="6" t="inlineStr"/>
    </row>
    <row r="307">
      <c r="A307" s="5" t="inlineStr">
        <is>
          <t>RT1-2025</t>
        </is>
      </c>
      <c r="B307" s="6" t="inlineStr">
        <is>
          <t>ICMS</t>
        </is>
      </c>
      <c r="C307" s="6" t="inlineStr">
        <is>
          <t>(débito R$ 360.000,00 - crédito R$ 216.000,00) x 100% da alíquota</t>
        </is>
      </c>
      <c r="D307" s="7" t="n">
        <v>144000</v>
      </c>
      <c r="E307" s="6" t="inlineStr">
        <is>
          <t>EC 132/2023, ADCT art. 128</t>
        </is>
      </c>
    </row>
    <row r="308">
      <c r="A308" s="5" t="inlineStr">
        <is>
          <t>RT1-2027</t>
        </is>
      </c>
      <c r="B308" s="6" t="inlineStr">
        <is>
          <t>ICMS</t>
        </is>
      </c>
      <c r="C308" s="6" t="inlineStr">
        <is>
          <t>(débito R$ 360.000,00 - crédito R$ 216.000,00) x 100% da alíquota</t>
        </is>
      </c>
      <c r="D308" s="7" t="n">
        <v>144000</v>
      </c>
      <c r="E308" s="6" t="inlineStr">
        <is>
          <t>EC 132/2023, ADCT art. 128</t>
        </is>
      </c>
    </row>
    <row r="309">
      <c r="A309" s="5" t="inlineStr">
        <is>
          <t>RT1-2027</t>
        </is>
      </c>
      <c r="B309" s="6" t="inlineStr">
        <is>
          <t>CBS</t>
        </is>
      </c>
      <c r="C309" s="6" t="inlineStr">
        <is>
          <t>R$ 1.567.000,00 x 8,700% - crédito R$ 873.000,00 x 8,700%</t>
        </is>
      </c>
      <c r="D309" s="7" t="n">
        <v>60378</v>
      </c>
      <c r="E309" s="6" t="inlineStr">
        <is>
          <t>EC 132/2023 (ADCT, arts. 125 a 133); LC 214/2025</t>
        </is>
      </c>
    </row>
    <row r="310">
      <c r="A310" s="5" t="inlineStr">
        <is>
          <t>RT1-2027</t>
        </is>
      </c>
      <c r="B310" s="6" t="inlineStr">
        <is>
          <t>IBS</t>
        </is>
      </c>
      <c r="C310" s="6" t="inlineStr">
        <is>
          <t>R$ 1.567.000,00 x 0,100% - crédito R$ 873.000,00 x 0,100%</t>
        </is>
      </c>
      <c r="D310" s="7" t="n">
        <v>694</v>
      </c>
      <c r="E310" s="6" t="inlineStr">
        <is>
          <t>EC 132/2023 (ADCT, arts. 125 a 133); LC 214/2025</t>
        </is>
      </c>
    </row>
    <row r="311">
      <c r="A311" s="5" t="inlineStr">
        <is>
          <t>RT1-2029</t>
        </is>
      </c>
      <c r="B311" s="6" t="inlineStr">
        <is>
          <t>ICMS</t>
        </is>
      </c>
      <c r="C311" s="6" t="inlineStr">
        <is>
          <t>(débito R$ 360.000,00 - crédito R$ 216.000,00) x 90% da alíquota</t>
        </is>
      </c>
      <c r="D311" s="7" t="n">
        <v>129600</v>
      </c>
      <c r="E311" s="6" t="inlineStr">
        <is>
          <t>EC 132/2023, ADCT art. 128</t>
        </is>
      </c>
    </row>
    <row r="312">
      <c r="A312" s="5" t="inlineStr">
        <is>
          <t>RT1-2029</t>
        </is>
      </c>
      <c r="B312" s="6" t="inlineStr">
        <is>
          <t>CBS</t>
        </is>
      </c>
      <c r="C312" s="6" t="inlineStr">
        <is>
          <t>R$ 1.567.000,00 x 8,800% - crédito R$ 873.000,00 x 8,800%</t>
        </is>
      </c>
      <c r="D312" s="7" t="n">
        <v>61072</v>
      </c>
      <c r="E312" s="6" t="inlineStr">
        <is>
          <t>EC 132/2023 (ADCT, arts. 125 a 133); LC 214/2025</t>
        </is>
      </c>
    </row>
    <row r="313">
      <c r="A313" s="5" t="inlineStr">
        <is>
          <t>RT1-2029</t>
        </is>
      </c>
      <c r="B313" s="6" t="inlineStr">
        <is>
          <t>IBS</t>
        </is>
      </c>
      <c r="C313" s="6" t="inlineStr">
        <is>
          <t>R$ 1.567.000,00 x 1,770% - crédito R$ 873.000,00 x 1,770%</t>
        </is>
      </c>
      <c r="D313" s="7" t="n">
        <v>12283.8</v>
      </c>
      <c r="E313" s="6" t="inlineStr">
        <is>
          <t>EC 132/2023 (ADCT, arts. 125 a 133); LC 214/2025</t>
        </is>
      </c>
    </row>
    <row r="314">
      <c r="A314" s="5" t="inlineStr">
        <is>
          <t>RT1-2033</t>
        </is>
      </c>
      <c r="B314" s="6" t="inlineStr">
        <is>
          <t>CBS</t>
        </is>
      </c>
      <c r="C314" s="6" t="inlineStr">
        <is>
          <t>R$ 1.567.000,00 x 8,800% - crédito R$ 873.000,00 x 8,800%</t>
        </is>
      </c>
      <c r="D314" s="7" t="n">
        <v>61072</v>
      </c>
      <c r="E314" s="6" t="inlineStr">
        <is>
          <t>EC 132/2023 (ADCT, arts. 125 a 133); LC 214/2025</t>
        </is>
      </c>
    </row>
    <row r="315">
      <c r="A315" s="5" t="inlineStr">
        <is>
          <t>RT1-2033</t>
        </is>
      </c>
      <c r="B315" s="6" t="inlineStr">
        <is>
          <t>IBS</t>
        </is>
      </c>
      <c r="C315" s="6" t="inlineStr">
        <is>
          <t>R$ 1.567.000,00 x 17,700% - crédito R$ 873.000,00 x 17,700%</t>
        </is>
      </c>
      <c r="D315" s="7" t="n">
        <v>122838</v>
      </c>
      <c r="E315" s="6" t="inlineStr">
        <is>
          <t>EC 132/2023 (ADCT, arts. 125 a 133); LC 214/2025</t>
        </is>
      </c>
    </row>
    <row r="316">
      <c r="A316" s="5" t="inlineStr">
        <is>
          <t>RT2-2025</t>
        </is>
      </c>
      <c r="B316" s="6" t="inlineStr">
        <is>
          <t>PIS/Cofins</t>
        </is>
      </c>
      <c r="C316" s="6" t="inlineStr">
        <is>
          <t>R$ 1.200.000,00 x 3,65%</t>
        </is>
      </c>
      <c r="D316" s="7" t="n">
        <v>43800</v>
      </c>
      <c r="E316" s="6" t="inlineStr"/>
    </row>
    <row r="317">
      <c r="A317" s="5" t="inlineStr">
        <is>
          <t>RT2-2025</t>
        </is>
      </c>
      <c r="B317" s="6" t="inlineStr">
        <is>
          <t>ISS</t>
        </is>
      </c>
      <c r="C317" s="6" t="inlineStr">
        <is>
          <t>R$ 1.200.000,00 x 5,00% x 100% da alíquota</t>
        </is>
      </c>
      <c r="D317" s="7" t="n">
        <v>60000</v>
      </c>
      <c r="E317" s="6" t="inlineStr">
        <is>
          <t>EC 132/2023, ADCT art. 128; LC 116/2003, art. 8º-B</t>
        </is>
      </c>
    </row>
    <row r="318">
      <c r="A318" s="5" t="inlineStr">
        <is>
          <t>RT2-2027</t>
        </is>
      </c>
      <c r="B318" s="6" t="inlineStr">
        <is>
          <t>ISS</t>
        </is>
      </c>
      <c r="C318" s="6" t="inlineStr">
        <is>
          <t>R$ 1.200.000,00 x 5,00% x 100% da alíquota</t>
        </is>
      </c>
      <c r="D318" s="7" t="n">
        <v>60000</v>
      </c>
      <c r="E318" s="6" t="inlineStr">
        <is>
          <t>EC 132/2023, ADCT art. 128; LC 116/2003, art. 8º-B</t>
        </is>
      </c>
    </row>
    <row r="319">
      <c r="A319" s="5" t="inlineStr">
        <is>
          <t>RT2-2027</t>
        </is>
      </c>
      <c r="B319" s="6" t="inlineStr">
        <is>
          <t>CBS</t>
        </is>
      </c>
      <c r="C319" s="6" t="inlineStr">
        <is>
          <t>R$ 1.096.200,00 x 8,700% - crédito R$ 108.900,00 x 8,700%</t>
        </is>
      </c>
      <c r="D319" s="7" t="n">
        <v>85895.10000000001</v>
      </c>
      <c r="E319" s="6" t="inlineStr">
        <is>
          <t>EC 132/2023 (ADCT, arts. 125 a 133); LC 214/2025</t>
        </is>
      </c>
    </row>
    <row r="320">
      <c r="A320" s="5" t="inlineStr">
        <is>
          <t>RT2-2027</t>
        </is>
      </c>
      <c r="B320" s="6" t="inlineStr">
        <is>
          <t>IBS</t>
        </is>
      </c>
      <c r="C320" s="6" t="inlineStr">
        <is>
          <t>R$ 1.096.200,00 x 0,100% - crédito R$ 108.900,00 x 0,100%</t>
        </is>
      </c>
      <c r="D320" s="7" t="n">
        <v>987.3</v>
      </c>
      <c r="E320" s="6" t="inlineStr">
        <is>
          <t>EC 132/2023 (ADCT, arts. 125 a 133); LC 214/2025</t>
        </is>
      </c>
    </row>
    <row r="321">
      <c r="A321" s="5" t="inlineStr">
        <is>
          <t>RT2-2029</t>
        </is>
      </c>
      <c r="B321" s="6" t="inlineStr">
        <is>
          <t>ISS</t>
        </is>
      </c>
      <c r="C321" s="6" t="inlineStr">
        <is>
          <t>R$ 1.200.000,00 x 5,00% x 90% da alíquota</t>
        </is>
      </c>
      <c r="D321" s="7" t="n">
        <v>54000</v>
      </c>
      <c r="E321" s="6" t="inlineStr">
        <is>
          <t>EC 132/2023, ADCT art. 128; LC 116/2003, art. 8º-B</t>
        </is>
      </c>
    </row>
    <row r="322">
      <c r="A322" s="5" t="inlineStr">
        <is>
          <t>RT2-2029</t>
        </is>
      </c>
      <c r="B322" s="6" t="inlineStr">
        <is>
          <t>CBS</t>
        </is>
      </c>
      <c r="C322" s="6" t="inlineStr">
        <is>
          <t>R$ 1.096.200,00 x 8,800% - crédito R$ 108.900,00 x 8,800%</t>
        </is>
      </c>
      <c r="D322" s="7" t="n">
        <v>86882.39999999999</v>
      </c>
      <c r="E322" s="6" t="inlineStr">
        <is>
          <t>EC 132/2023 (ADCT, arts. 125 a 133); LC 214/2025</t>
        </is>
      </c>
    </row>
    <row r="323">
      <c r="A323" s="5" t="inlineStr">
        <is>
          <t>RT2-2029</t>
        </is>
      </c>
      <c r="B323" s="6" t="inlineStr">
        <is>
          <t>IBS</t>
        </is>
      </c>
      <c r="C323" s="6" t="inlineStr">
        <is>
          <t>R$ 1.096.200,00 x 1,770% - crédito R$ 108.900,00 x 1,770%</t>
        </is>
      </c>
      <c r="D323" s="7" t="n">
        <v>17475.21</v>
      </c>
      <c r="E323" s="6" t="inlineStr">
        <is>
          <t>EC 132/2023 (ADCT, arts. 125 a 133); LC 214/2025</t>
        </is>
      </c>
    </row>
    <row r="324">
      <c r="A324" s="5" t="inlineStr">
        <is>
          <t>RT2-2033</t>
        </is>
      </c>
      <c r="B324" s="6" t="inlineStr">
        <is>
          <t>CBS</t>
        </is>
      </c>
      <c r="C324" s="6" t="inlineStr">
        <is>
          <t>R$ 1.096.200,00 x 8,800% - crédito R$ 108.900,00 x 8,800%</t>
        </is>
      </c>
      <c r="D324" s="7" t="n">
        <v>86882.39999999999</v>
      </c>
      <c r="E324" s="6" t="inlineStr">
        <is>
          <t>EC 132/2023 (ADCT, arts. 125 a 133); LC 214/2025</t>
        </is>
      </c>
    </row>
    <row r="325">
      <c r="A325" s="5" t="inlineStr">
        <is>
          <t>RT2-2033</t>
        </is>
      </c>
      <c r="B325" s="6" t="inlineStr">
        <is>
          <t>IBS</t>
        </is>
      </c>
      <c r="C325" s="6" t="inlineStr">
        <is>
          <t>R$ 1.096.200,00 x 17,700% - crédito R$ 108.900,00 x 17,700%</t>
        </is>
      </c>
      <c r="D325" s="7" t="n">
        <v>174752.1</v>
      </c>
      <c r="E325" s="6" t="inlineStr">
        <is>
          <t>EC 132/2023 (ADCT, arts. 125 a 133); LC 214/2025</t>
        </is>
      </c>
    </row>
    <row r="326">
      <c r="A326" s="5" t="inlineStr">
        <is>
          <t>RT3-2025</t>
        </is>
      </c>
      <c r="B326" s="6" t="inlineStr">
        <is>
          <t>PIS/Cofins</t>
        </is>
      </c>
      <c r="C326" s="6" t="inlineStr">
        <is>
          <t>R$ 600.000,00 x 3,65%</t>
        </is>
      </c>
      <c r="D326" s="7" t="n">
        <v>21900</v>
      </c>
      <c r="E326" s="6" t="inlineStr"/>
    </row>
    <row r="327">
      <c r="A327" s="5" t="inlineStr">
        <is>
          <t>RT3-2025</t>
        </is>
      </c>
      <c r="B327" s="6" t="inlineStr">
        <is>
          <t>ISS</t>
        </is>
      </c>
      <c r="C327" s="6" t="inlineStr">
        <is>
          <t>R$ 600.000,00 x 5,00% x 100% da alíquota</t>
        </is>
      </c>
      <c r="D327" s="7" t="n">
        <v>30000</v>
      </c>
      <c r="E327" s="6" t="inlineStr">
        <is>
          <t>EC 132/2023, ADCT art. 128; LC 116/2003, art. 8º-B</t>
        </is>
      </c>
    </row>
    <row r="328">
      <c r="A328" s="5" t="inlineStr">
        <is>
          <t>RT3-2027</t>
        </is>
      </c>
      <c r="B328" s="6" t="inlineStr">
        <is>
          <t>ISS</t>
        </is>
      </c>
      <c r="C328" s="6" t="inlineStr">
        <is>
          <t>R$ 600.000,00 x 5,00% x 100% da alíquota</t>
        </is>
      </c>
      <c r="D328" s="7" t="n">
        <v>30000</v>
      </c>
      <c r="E328" s="6" t="inlineStr">
        <is>
          <t>EC 132/2023, ADCT art. 128; LC 116/2003, art. 8º-B</t>
        </is>
      </c>
    </row>
    <row r="329">
      <c r="A329" s="5" t="inlineStr">
        <is>
          <t>RT3-2027</t>
        </is>
      </c>
      <c r="B329" s="6" t="inlineStr">
        <is>
          <t>CBS</t>
        </is>
      </c>
      <c r="C329" s="6" t="inlineStr">
        <is>
          <t>R$ 548.100,00 x 6,090% - crédito R$ 54.450,00 x 8,700%</t>
        </is>
      </c>
      <c r="D329" s="7" t="n">
        <v>28642.14</v>
      </c>
      <c r="E329" s="6" t="inlineStr">
        <is>
          <t>EC 132/2023 (ADCT, arts. 125 a 133); LC 214/2025</t>
        </is>
      </c>
    </row>
    <row r="330">
      <c r="A330" s="5" t="inlineStr">
        <is>
          <t>RT3-2027</t>
        </is>
      </c>
      <c r="B330" s="6" t="inlineStr">
        <is>
          <t>IBS</t>
        </is>
      </c>
      <c r="C330" s="6" t="inlineStr">
        <is>
          <t>R$ 548.100,00 x 0,070% - crédito R$ 54.450,00 x 0,100%</t>
        </is>
      </c>
      <c r="D330" s="7" t="n">
        <v>329.22</v>
      </c>
      <c r="E330" s="6" t="inlineStr">
        <is>
          <t>EC 132/2023 (ADCT, arts. 125 a 133); LC 214/2025</t>
        </is>
      </c>
    </row>
    <row r="331">
      <c r="A331" s="5" t="inlineStr">
        <is>
          <t>RT3-2029</t>
        </is>
      </c>
      <c r="B331" s="6" t="inlineStr">
        <is>
          <t>ISS</t>
        </is>
      </c>
      <c r="C331" s="6" t="inlineStr">
        <is>
          <t>R$ 600.000,00 x 5,00% x 90% da alíquota</t>
        </is>
      </c>
      <c r="D331" s="7" t="n">
        <v>27000</v>
      </c>
      <c r="E331" s="6" t="inlineStr">
        <is>
          <t>EC 132/2023, ADCT art. 128; LC 116/2003, art. 8º-B</t>
        </is>
      </c>
    </row>
    <row r="332">
      <c r="A332" s="5" t="inlineStr">
        <is>
          <t>RT3-2029</t>
        </is>
      </c>
      <c r="B332" s="6" t="inlineStr">
        <is>
          <t>CBS</t>
        </is>
      </c>
      <c r="C332" s="6" t="inlineStr">
        <is>
          <t>R$ 548.100,00 x 6,160% - crédito R$ 54.450,00 x 8,800%</t>
        </is>
      </c>
      <c r="D332" s="7" t="n">
        <v>28971.36</v>
      </c>
      <c r="E332" s="6" t="inlineStr">
        <is>
          <t>EC 132/2023 (ADCT, arts. 125 a 133); LC 214/2025</t>
        </is>
      </c>
    </row>
    <row r="333">
      <c r="A333" s="5" t="inlineStr">
        <is>
          <t>RT3-2029</t>
        </is>
      </c>
      <c r="B333" s="6" t="inlineStr">
        <is>
          <t>IBS</t>
        </is>
      </c>
      <c r="C333" s="6" t="inlineStr">
        <is>
          <t>R$ 548.100,00 x 1,239% - crédito R$ 54.450,00 x 1,770%</t>
        </is>
      </c>
      <c r="D333" s="7" t="n">
        <v>5827.194</v>
      </c>
      <c r="E333" s="6" t="inlineStr">
        <is>
          <t>EC 132/2023 (ADCT, arts. 125 a 133); LC 214/2025</t>
        </is>
      </c>
    </row>
    <row r="334">
      <c r="A334" s="5" t="inlineStr">
        <is>
          <t>RT3-2033</t>
        </is>
      </c>
      <c r="B334" s="6" t="inlineStr">
        <is>
          <t>CBS</t>
        </is>
      </c>
      <c r="C334" s="6" t="inlineStr">
        <is>
          <t>R$ 548.100,00 x 6,160% - crédito R$ 54.450,00 x 8,800%</t>
        </is>
      </c>
      <c r="D334" s="7" t="n">
        <v>28971.36</v>
      </c>
      <c r="E334" s="6" t="inlineStr">
        <is>
          <t>EC 132/2023 (ADCT, arts. 125 a 133); LC 214/2025</t>
        </is>
      </c>
    </row>
    <row r="335">
      <c r="A335" s="5" t="inlineStr">
        <is>
          <t>RT3-2033</t>
        </is>
      </c>
      <c r="B335" s="6" t="inlineStr">
        <is>
          <t>IBS</t>
        </is>
      </c>
      <c r="C335" s="6" t="inlineStr">
        <is>
          <t>R$ 548.100,00 x 12,390% - crédito R$ 54.450,00 x 17,700%</t>
        </is>
      </c>
      <c r="D335" s="7" t="n">
        <v>58271.94</v>
      </c>
      <c r="E335" s="6" t="inlineStr">
        <is>
          <t>EC 132/2023 (ADCT, arts. 125 a 133); LC 214/2025</t>
        </is>
      </c>
    </row>
    <row r="336">
      <c r="A336" s="5" t="inlineStr">
        <is>
          <t>RT5-2025</t>
        </is>
      </c>
      <c r="B336" s="6" t="inlineStr">
        <is>
          <t>PIS/Cofins</t>
        </is>
      </c>
      <c r="C336" s="6" t="inlineStr">
        <is>
          <t>R$ 600.000,00 x 3,65%</t>
        </is>
      </c>
      <c r="D336" s="7" t="n">
        <v>21900</v>
      </c>
      <c r="E336" s="6" t="inlineStr"/>
    </row>
    <row r="337">
      <c r="A337" s="5" t="inlineStr">
        <is>
          <t>RT5-2025</t>
        </is>
      </c>
      <c r="B337" s="6" t="inlineStr">
        <is>
          <t>ISS fixo da sociedade uniprofissional</t>
        </is>
      </c>
      <c r="C337" s="6" t="inlineStr">
        <is>
          <t>R$ 3.000,00 x 100% (redução gradual do ISS)</t>
        </is>
      </c>
      <c r="D337" s="7" t="n">
        <v>3000</v>
      </c>
      <c r="E337" s="6" t="inlineStr">
        <is>
          <t>DL 406/1968, art. 9º; LC 116/2003, art. 8º-B (LC 214/2025, art. 508); EC 132/2023, ADCT art. 128</t>
        </is>
      </c>
    </row>
    <row r="338">
      <c r="A338" s="5" t="inlineStr">
        <is>
          <t>RT5-2027</t>
        </is>
      </c>
      <c r="B338" s="6" t="inlineStr">
        <is>
          <t>ISS fixo da sociedade uniprofissional</t>
        </is>
      </c>
      <c r="C338" s="6" t="inlineStr">
        <is>
          <t>R$ 3.000,00 x 100% (redução gradual do ISS)</t>
        </is>
      </c>
      <c r="D338" s="7" t="n">
        <v>3000</v>
      </c>
      <c r="E338" s="6" t="inlineStr">
        <is>
          <t>DL 406/1968, art. 9º; LC 116/2003, art. 8º-B (LC 214/2025, art. 508); EC 132/2023, ADCT art. 128</t>
        </is>
      </c>
    </row>
    <row r="339">
      <c r="A339" s="5" t="inlineStr">
        <is>
          <t>RT5-2027</t>
        </is>
      </c>
      <c r="B339" s="6" t="inlineStr">
        <is>
          <t>CBS</t>
        </is>
      </c>
      <c r="C339" s="6" t="inlineStr">
        <is>
          <t>R$ 575.100,00 x 6,090% - crédito R$ 0,00 x 8,700%</t>
        </is>
      </c>
      <c r="D339" s="7" t="n">
        <v>35023.59</v>
      </c>
      <c r="E339" s="6" t="inlineStr">
        <is>
          <t>EC 132/2023 (ADCT, arts. 125 a 133); LC 214/2025</t>
        </is>
      </c>
    </row>
    <row r="340">
      <c r="A340" s="5" t="inlineStr">
        <is>
          <t>RT5-2027</t>
        </is>
      </c>
      <c r="B340" s="6" t="inlineStr">
        <is>
          <t>IBS</t>
        </is>
      </c>
      <c r="C340" s="6" t="inlineStr">
        <is>
          <t>R$ 575.100,00 x 0,070% - crédito R$ 0,00 x 0,100%</t>
        </is>
      </c>
      <c r="D340" s="7" t="n">
        <v>402.57</v>
      </c>
      <c r="E340" s="6" t="inlineStr">
        <is>
          <t>EC 132/2023 (ADCT, arts. 125 a 133); LC 214/2025</t>
        </is>
      </c>
    </row>
    <row r="341">
      <c r="A341" s="5" t="inlineStr">
        <is>
          <t>RT5-2029</t>
        </is>
      </c>
      <c r="B341" s="6" t="inlineStr">
        <is>
          <t>ISS fixo da sociedade uniprofissional</t>
        </is>
      </c>
      <c r="C341" s="6" t="inlineStr">
        <is>
          <t>R$ 3.000,00 x 90% (redução gradual do ISS)</t>
        </is>
      </c>
      <c r="D341" s="7" t="n">
        <v>2700</v>
      </c>
      <c r="E341" s="6" t="inlineStr">
        <is>
          <t>DL 406/1968, art. 9º; LC 116/2003, art. 8º-B (LC 214/2025, art. 508); EC 132/2023, ADCT art. 128</t>
        </is>
      </c>
    </row>
    <row r="342">
      <c r="A342" s="5" t="inlineStr">
        <is>
          <t>RT5-2029</t>
        </is>
      </c>
      <c r="B342" s="6" t="inlineStr">
        <is>
          <t>CBS</t>
        </is>
      </c>
      <c r="C342" s="6" t="inlineStr">
        <is>
          <t>R$ 575.100,00 x 6,160% - crédito R$ 0,00 x 8,800%</t>
        </is>
      </c>
      <c r="D342" s="7" t="n">
        <v>35426.16</v>
      </c>
      <c r="E342" s="6" t="inlineStr">
        <is>
          <t>EC 132/2023 (ADCT, arts. 125 a 133); LC 214/2025</t>
        </is>
      </c>
    </row>
    <row r="343">
      <c r="A343" s="5" t="inlineStr">
        <is>
          <t>RT5-2029</t>
        </is>
      </c>
      <c r="B343" s="6" t="inlineStr">
        <is>
          <t>IBS</t>
        </is>
      </c>
      <c r="C343" s="6" t="inlineStr">
        <is>
          <t>R$ 575.100,00 x 1,239% - crédito R$ 0,00 x 1,770%</t>
        </is>
      </c>
      <c r="D343" s="7" t="n">
        <v>7125.489</v>
      </c>
      <c r="E343" s="6" t="inlineStr">
        <is>
          <t>EC 132/2023 (ADCT, arts. 125 a 133); LC 214/2025</t>
        </is>
      </c>
    </row>
    <row r="344">
      <c r="A344" s="5" t="inlineStr">
        <is>
          <t>RT5-2033</t>
        </is>
      </c>
      <c r="B344" s="6" t="inlineStr">
        <is>
          <t>CBS</t>
        </is>
      </c>
      <c r="C344" s="6" t="inlineStr">
        <is>
          <t>R$ 575.100,00 x 6,160% - crédito R$ 0,00 x 8,800%</t>
        </is>
      </c>
      <c r="D344" s="7" t="n">
        <v>35426.16</v>
      </c>
      <c r="E344" s="6" t="inlineStr">
        <is>
          <t>EC 132/2023 (ADCT, arts. 125 a 133); LC 214/2025</t>
        </is>
      </c>
    </row>
    <row r="345">
      <c r="A345" s="5" t="inlineStr">
        <is>
          <t>RT5-2033</t>
        </is>
      </c>
      <c r="B345" s="6" t="inlineStr">
        <is>
          <t>IBS</t>
        </is>
      </c>
      <c r="C345" s="6" t="inlineStr">
        <is>
          <t>R$ 575.100,00 x 12,390% - crédito R$ 0,00 x 17,700%</t>
        </is>
      </c>
      <c r="D345" s="7" t="n">
        <v>71254.89</v>
      </c>
      <c r="E345" s="6" t="inlineStr">
        <is>
          <t>EC 132/2023 (ADCT, arts. 125 a 133); LC 214/2025</t>
        </is>
      </c>
    </row>
    <row r="346">
      <c r="A346" s="5" t="inlineStr">
        <is>
          <t>RT4-2025</t>
        </is>
      </c>
      <c r="B346" s="6" t="inlineStr">
        <is>
          <t>PIS/Cofins</t>
        </is>
      </c>
      <c r="C346" s="6" t="inlineStr">
        <is>
          <t>máx(0; (R$ 3.000.000,00 - R$ 1.700.000,00) x 9,25%)</t>
        </is>
      </c>
      <c r="D346" s="7" t="n">
        <v>120250</v>
      </c>
      <c r="E346" s="6" t="inlineStr"/>
    </row>
    <row r="347">
      <c r="A347" s="5" t="inlineStr">
        <is>
          <t>RT4-2025</t>
        </is>
      </c>
      <c r="B347" s="6" t="inlineStr">
        <is>
          <t>IPI</t>
        </is>
      </c>
      <c r="C347" s="6" t="inlineStr">
        <is>
          <t>R$ 3.000.000,00 x 5,00%</t>
        </is>
      </c>
      <c r="D347" s="7" t="n">
        <v>150000</v>
      </c>
      <c r="E347" s="6" t="inlineStr"/>
    </row>
    <row r="348">
      <c r="A348" s="5" t="inlineStr">
        <is>
          <t>RT4-2025</t>
        </is>
      </c>
      <c r="B348" s="6" t="inlineStr">
        <is>
          <t>ICMS</t>
        </is>
      </c>
      <c r="C348" s="6" t="inlineStr">
        <is>
          <t>(débito R$ 540.000,00 - crédito R$ 270.000,00) x 100% da alíquota</t>
        </is>
      </c>
      <c r="D348" s="7" t="n">
        <v>270000</v>
      </c>
      <c r="E348" s="6" t="inlineStr">
        <is>
          <t>EC 132/2023, ADCT art. 128</t>
        </is>
      </c>
    </row>
    <row r="349">
      <c r="A349" s="5" t="inlineStr">
        <is>
          <t>RT4-2027</t>
        </is>
      </c>
      <c r="B349" s="6" t="inlineStr">
        <is>
          <t>ICMS</t>
        </is>
      </c>
      <c r="C349" s="6" t="inlineStr">
        <is>
          <t>(débito R$ 540.000,00 - crédito R$ 270.000,00) x 100% da alíquota</t>
        </is>
      </c>
      <c r="D349" s="7" t="n">
        <v>270000</v>
      </c>
      <c r="E349" s="6" t="inlineStr">
        <is>
          <t>EC 132/2023, ADCT art. 128</t>
        </is>
      </c>
    </row>
    <row r="350">
      <c r="A350" s="5" t="inlineStr">
        <is>
          <t>RT4-2027</t>
        </is>
      </c>
      <c r="B350" s="6" t="inlineStr">
        <is>
          <t>CBS</t>
        </is>
      </c>
      <c r="C350" s="6" t="inlineStr">
        <is>
          <t>R$ 2.182.500,00 x 8,700% - crédito R$ 1.236.750,00 x 8,700%</t>
        </is>
      </c>
      <c r="D350" s="7" t="n">
        <v>82280.25</v>
      </c>
      <c r="E350" s="6" t="inlineStr">
        <is>
          <t>EC 132/2023 (ADCT, arts. 125 a 133); LC 214/2025</t>
        </is>
      </c>
    </row>
    <row r="351">
      <c r="A351" s="5" t="inlineStr">
        <is>
          <t>RT4-2027</t>
        </is>
      </c>
      <c r="B351" s="6" t="inlineStr">
        <is>
          <t>IBS</t>
        </is>
      </c>
      <c r="C351" s="6" t="inlineStr">
        <is>
          <t>R$ 2.182.500,00 x 0,100% - crédito R$ 1.236.750,00 x 0,100%</t>
        </is>
      </c>
      <c r="D351" s="7" t="n">
        <v>945.75</v>
      </c>
      <c r="E351" s="6" t="inlineStr">
        <is>
          <t>EC 132/2023 (ADCT, arts. 125 a 133); LC 214/2025</t>
        </is>
      </c>
    </row>
    <row r="352">
      <c r="A352" s="5" t="inlineStr">
        <is>
          <t>RT4-2029</t>
        </is>
      </c>
      <c r="B352" s="6" t="inlineStr">
        <is>
          <t>ICMS</t>
        </is>
      </c>
      <c r="C352" s="6" t="inlineStr">
        <is>
          <t>(débito R$ 540.000,00 - crédito R$ 270.000,00) x 90% da alíquota</t>
        </is>
      </c>
      <c r="D352" s="7" t="n">
        <v>243000</v>
      </c>
      <c r="E352" s="6" t="inlineStr">
        <is>
          <t>EC 132/2023, ADCT art. 128</t>
        </is>
      </c>
    </row>
    <row r="353">
      <c r="A353" s="5" t="inlineStr">
        <is>
          <t>RT4-2029</t>
        </is>
      </c>
      <c r="B353" s="6" t="inlineStr">
        <is>
          <t>CBS</t>
        </is>
      </c>
      <c r="C353" s="6" t="inlineStr">
        <is>
          <t>R$ 2.182.500,00 x 8,800% - crédito R$ 1.236.750,00 x 8,800%</t>
        </is>
      </c>
      <c r="D353" s="7" t="n">
        <v>83226</v>
      </c>
      <c r="E353" s="6" t="inlineStr">
        <is>
          <t>EC 132/2023 (ADCT, arts. 125 a 133); LC 214/2025</t>
        </is>
      </c>
    </row>
    <row r="354">
      <c r="A354" s="5" t="inlineStr">
        <is>
          <t>RT4-2029</t>
        </is>
      </c>
      <c r="B354" s="6" t="inlineStr">
        <is>
          <t>IBS</t>
        </is>
      </c>
      <c r="C354" s="6" t="inlineStr">
        <is>
          <t>R$ 2.182.500,00 x 1,770% - crédito R$ 1.236.750,00 x 1,770%</t>
        </is>
      </c>
      <c r="D354" s="7" t="n">
        <v>16739.775</v>
      </c>
      <c r="E354" s="6" t="inlineStr">
        <is>
          <t>EC 132/2023 (ADCT, arts. 125 a 133); LC 214/2025</t>
        </is>
      </c>
    </row>
    <row r="355">
      <c r="A355" s="5" t="inlineStr">
        <is>
          <t>RT4-2033</t>
        </is>
      </c>
      <c r="B355" s="6" t="inlineStr">
        <is>
          <t>CBS</t>
        </is>
      </c>
      <c r="C355" s="6" t="inlineStr">
        <is>
          <t>R$ 2.182.500,00 x 8,800% - crédito R$ 1.236.750,00 x 8,800%</t>
        </is>
      </c>
      <c r="D355" s="7" t="n">
        <v>83226</v>
      </c>
      <c r="E355" s="6" t="inlineStr">
        <is>
          <t>EC 132/2023 (ADCT, arts. 125 a 133); LC 214/2025</t>
        </is>
      </c>
    </row>
    <row r="356">
      <c r="A356" s="5" t="inlineStr">
        <is>
          <t>RT4-2033</t>
        </is>
      </c>
      <c r="B356" s="6" t="inlineStr">
        <is>
          <t>IBS</t>
        </is>
      </c>
      <c r="C356" s="6" t="inlineStr">
        <is>
          <t>R$ 2.182.500,00 x 17,700% - crédito R$ 1.236.750,00 x 17,700%</t>
        </is>
      </c>
      <c r="D356" s="7" t="n">
        <v>167397.75</v>
      </c>
      <c r="E356" s="6" t="inlineStr">
        <is>
          <t>EC 132/2023 (ADCT, arts. 125 a 133); LC 214/2025</t>
        </is>
      </c>
    </row>
    <row r="357">
      <c r="A357" s="5" t="inlineStr">
        <is>
          <t>SR1-2027</t>
        </is>
      </c>
      <c r="B357" s="6" t="inlineStr">
        <is>
          <t>Anexo I: alíquota efetiva do DAS (2027)</t>
        </is>
      </c>
      <c r="C357" s="6" t="inlineStr">
        <is>
          <t>RBT12 R$ 2.000.000,00, 5ª faixa</t>
        </is>
      </c>
      <c r="D357" s="7" t="n">
        <v>0.09934999999999999</v>
      </c>
      <c r="E357" s="6" t="inlineStr">
        <is>
          <t>LC 123/2006, art. 18, §1º e §1º-A</t>
        </is>
      </c>
    </row>
    <row r="358">
      <c r="A358" s="5" t="inlineStr">
        <is>
          <t>SR1-2027</t>
        </is>
      </c>
      <c r="B358" s="6" t="inlineStr">
        <is>
          <t>Alíquota da fatia do DAS substituída por IBS/CBS</t>
        </is>
      </c>
      <c r="C358" s="6" t="inlineStr">
        <is>
          <t>CBS 15,33% + IBS 0,17% = 15,50% do DAS</t>
        </is>
      </c>
      <c r="D358" s="19" t="n">
        <v>0.155</v>
      </c>
      <c r="E358" s="6" t="inlineStr">
        <is>
          <t>Res. CGSN 190/2026, Anexos I a V (partilha)</t>
        </is>
      </c>
    </row>
    <row r="359">
      <c r="A359" s="5" t="inlineStr">
        <is>
          <t>SR1-2027</t>
        </is>
      </c>
      <c r="B359" s="6" t="inlineStr">
        <is>
          <t>Alíquota de IBS/CBS na venda (por fora)</t>
        </is>
      </c>
      <c r="C359" s="6" t="inlineStr">
        <is>
          <t>com redução setorial de 0%</t>
        </is>
      </c>
      <c r="D359" s="19" t="n">
        <v>0.08799999999999999</v>
      </c>
      <c r="E359" s="6" t="inlineStr">
        <is>
          <t>LC 214/2025; LC 123/2006 (opção pelo regime regular de IBS/CBS)</t>
        </is>
      </c>
    </row>
    <row r="360">
      <c r="A360" s="5" t="inlineStr">
        <is>
          <t>SR1-2027</t>
        </is>
      </c>
      <c r="B360" s="6" t="inlineStr">
        <is>
          <t>Receita líquida — tudo no DAS</t>
        </is>
      </c>
      <c r="C360" s="6" t="inlineStr">
        <is>
          <t>R$ 2.000.000,00 x (1 - 9,94%)</t>
        </is>
      </c>
      <c r="D360" s="7" t="n">
        <v>1801300</v>
      </c>
      <c r="E360" s="6" t="inlineStr">
        <is>
          <t>LC 214/2025; LC 123/2006 (opção pelo regime regular de IBS/CBS)</t>
        </is>
      </c>
    </row>
    <row r="361">
      <c r="A361" s="5" t="inlineStr">
        <is>
          <t>SR1-2027</t>
        </is>
      </c>
      <c r="B361" s="6" t="inlineStr">
        <is>
          <t>Crédito de IBS/CBS nas compras (só por fora)</t>
        </is>
      </c>
      <c r="C361" s="6" t="inlineStr">
        <is>
          <t>R$ 1.200.000,00 x 8,80%</t>
        </is>
      </c>
      <c r="D361" s="7" t="n">
        <v>105600</v>
      </c>
      <c r="E361" s="6" t="inlineStr">
        <is>
          <t>LC 214/2025; LC 123/2006 (opção pelo regime regular de IBS/CBS)</t>
        </is>
      </c>
    </row>
    <row r="362">
      <c r="A362" s="5" t="inlineStr">
        <is>
          <t>SR1-2027</t>
        </is>
      </c>
      <c r="B362" s="6" t="inlineStr">
        <is>
          <t>Receita líquida — IBS/CBS por fora</t>
        </is>
      </c>
      <c r="C362" s="6" t="inlineStr">
        <is>
          <t>R$ 2.000.000,00 x [80% B2B x (1 - e·s)(1 - e·(1-s)) + 20% B2C x (1 - e·(1-s)) / (1 + 8,80%)] + créditos</t>
        </is>
      </c>
      <c r="D362" s="7" t="n">
        <v>1885491.2582391</v>
      </c>
      <c r="E362" s="6" t="inlineStr">
        <is>
          <t>LC 214/2025; LC 123/2006 (opção pelo regime regular de IBS/CBS)</t>
        </is>
      </c>
    </row>
    <row r="363">
      <c r="A363" s="5" t="inlineStr">
        <is>
          <t>SR1-2033</t>
        </is>
      </c>
      <c r="B363" s="6" t="inlineStr">
        <is>
          <t>Anexo I: alíquota efetiva do DAS (2033)</t>
        </is>
      </c>
      <c r="C363" s="6" t="inlineStr">
        <is>
          <t>RBT12 R$ 2.000.000,00, 5ª faixa</t>
        </is>
      </c>
      <c r="D363" s="7" t="n">
        <v>0.09934999999999999</v>
      </c>
      <c r="E363" s="6" t="inlineStr">
        <is>
          <t>LC 123/2006, art. 18, §1º e §1º-A</t>
        </is>
      </c>
    </row>
    <row r="364">
      <c r="A364" s="5" t="inlineStr">
        <is>
          <t>SR1-2033</t>
        </is>
      </c>
      <c r="B364" s="6" t="inlineStr">
        <is>
          <t>Alíquota da fatia do DAS substituída por IBS/CBS</t>
        </is>
      </c>
      <c r="C364" s="6" t="inlineStr">
        <is>
          <t>CBS 15,50% + IBS 33,50% = 49,00% do DAS</t>
        </is>
      </c>
      <c r="D364" s="19" t="n">
        <v>0.49</v>
      </c>
      <c r="E364" s="6" t="inlineStr">
        <is>
          <t>Res. CGSN 190/2026, Anexos I a V (partilha)</t>
        </is>
      </c>
    </row>
    <row r="365">
      <c r="A365" s="5" t="inlineStr">
        <is>
          <t>SR1-2033</t>
        </is>
      </c>
      <c r="B365" s="6" t="inlineStr">
        <is>
          <t>Alíquota de IBS/CBS na venda (por fora)</t>
        </is>
      </c>
      <c r="C365" s="6" t="inlineStr">
        <is>
          <t>com redução setorial de 0%</t>
        </is>
      </c>
      <c r="D365" s="19" t="n">
        <v>0.265</v>
      </c>
      <c r="E365" s="6" t="inlineStr">
        <is>
          <t>LC 214/2025; LC 123/2006 (opção pelo regime regular de IBS/CBS)</t>
        </is>
      </c>
    </row>
    <row r="366">
      <c r="A366" s="5" t="inlineStr">
        <is>
          <t>SR1-2033</t>
        </is>
      </c>
      <c r="B366" s="6" t="inlineStr">
        <is>
          <t>Receita líquida — tudo no DAS</t>
        </is>
      </c>
      <c r="C366" s="6" t="inlineStr">
        <is>
          <t>R$ 2.000.000,00 x (1 - 9,94%)</t>
        </is>
      </c>
      <c r="D366" s="7" t="n">
        <v>1801300</v>
      </c>
      <c r="E366" s="6" t="inlineStr">
        <is>
          <t>LC 214/2025; LC 123/2006 (opção pelo regime regular de IBS/CBS)</t>
        </is>
      </c>
    </row>
    <row r="367">
      <c r="A367" s="5" t="inlineStr">
        <is>
          <t>SR1-2033</t>
        </is>
      </c>
      <c r="B367" s="6" t="inlineStr">
        <is>
          <t>Crédito de IBS/CBS nas compras (só por fora)</t>
        </is>
      </c>
      <c r="C367" s="6" t="inlineStr">
        <is>
          <t>R$ 1.200.000,00 x 26,50%</t>
        </is>
      </c>
      <c r="D367" s="7" t="n">
        <v>318000</v>
      </c>
      <c r="E367" s="6" t="inlineStr">
        <is>
          <t>LC 214/2025; LC 123/2006 (opção pelo regime regular de IBS/CBS)</t>
        </is>
      </c>
    </row>
    <row r="368">
      <c r="A368" s="5" t="inlineStr">
        <is>
          <t>SR1-2033</t>
        </is>
      </c>
      <c r="B368" s="6" t="inlineStr">
        <is>
          <t>Receita líquida — IBS/CBS por fora</t>
        </is>
      </c>
      <c r="C368" s="6" t="inlineStr">
        <is>
          <t>R$ 2.000.000,00 x [80% B2B x (1 - e·s)(1 - e·(1-s)) + 20% B2C x (1 - e·(1-s)) / (1 + 26,50%)] + créditos</t>
        </is>
      </c>
      <c r="D368" s="7" t="n">
        <v>2063170.463250187</v>
      </c>
      <c r="E368" s="6" t="inlineStr">
        <is>
          <t>LC 214/2025; LC 123/2006 (opção pelo regime regular de IBS/CBS)</t>
        </is>
      </c>
    </row>
    <row r="369">
      <c r="A369" s="5" t="inlineStr">
        <is>
          <t>SR2-2027</t>
        </is>
      </c>
      <c r="B369" s="6" t="inlineStr">
        <is>
          <t>Anexo III: alíquota efetiva do DAS (2027)</t>
        </is>
      </c>
      <c r="C369" s="6" t="inlineStr">
        <is>
          <t>RBT12 R$ 600.000,00, 3ª faixa</t>
        </is>
      </c>
      <c r="D369" s="7" t="n">
        <v>0.1056</v>
      </c>
      <c r="E369" s="6" t="inlineStr">
        <is>
          <t>LC 123/2006, art. 18, §1º e §1º-A</t>
        </is>
      </c>
    </row>
    <row r="370">
      <c r="A370" s="5" t="inlineStr">
        <is>
          <t>SR2-2027</t>
        </is>
      </c>
      <c r="B370" s="6" t="inlineStr">
        <is>
          <t>Alíquota da fatia do DAS substituída por IBS/CBS</t>
        </is>
      </c>
      <c r="C370" s="6" t="inlineStr">
        <is>
          <t>CBS 16,41% + IBS 0,19% = 16,60% do DAS</t>
        </is>
      </c>
      <c r="D370" s="19" t="n">
        <v>0.166</v>
      </c>
      <c r="E370" s="6" t="inlineStr">
        <is>
          <t>Res. CGSN 190/2026, Anexos I a V (partilha)</t>
        </is>
      </c>
    </row>
    <row r="371">
      <c r="A371" s="5" t="inlineStr">
        <is>
          <t>SR2-2027</t>
        </is>
      </c>
      <c r="B371" s="6" t="inlineStr">
        <is>
          <t>Alíquota de IBS/CBS na venda (por fora)</t>
        </is>
      </c>
      <c r="C371" s="6" t="inlineStr">
        <is>
          <t>com redução setorial de 0%</t>
        </is>
      </c>
      <c r="D371" s="19" t="n">
        <v>0.08799999999999999</v>
      </c>
      <c r="E371" s="6" t="inlineStr">
        <is>
          <t>LC 214/2025; LC 123/2006 (opção pelo regime regular de IBS/CBS)</t>
        </is>
      </c>
    </row>
    <row r="372">
      <c r="A372" s="5" t="inlineStr">
        <is>
          <t>SR2-2027</t>
        </is>
      </c>
      <c r="B372" s="6" t="inlineStr">
        <is>
          <t>Receita líquida — tudo no DAS</t>
        </is>
      </c>
      <c r="C372" s="6" t="inlineStr">
        <is>
          <t>R$ 600.000,00 x (1 - 10,56%)</t>
        </is>
      </c>
      <c r="D372" s="7" t="n">
        <v>536640</v>
      </c>
      <c r="E372" s="6" t="inlineStr">
        <is>
          <t>LC 214/2025; LC 123/2006 (opção pelo regime regular de IBS/CBS)</t>
        </is>
      </c>
    </row>
    <row r="373">
      <c r="A373" s="5" t="inlineStr">
        <is>
          <t>SR2-2027</t>
        </is>
      </c>
      <c r="B373" s="6" t="inlineStr">
        <is>
          <t>Crédito de IBS/CBS nas compras (só por fora)</t>
        </is>
      </c>
      <c r="C373" s="6" t="inlineStr">
        <is>
          <t>R$ 0,00 x 8,80%</t>
        </is>
      </c>
      <c r="D373" s="7" t="n">
        <v>0</v>
      </c>
      <c r="E373" s="6" t="inlineStr">
        <is>
          <t>LC 214/2025; LC 123/2006 (opção pelo regime regular de IBS/CBS)</t>
        </is>
      </c>
    </row>
    <row r="374">
      <c r="A374" s="5" t="inlineStr">
        <is>
          <t>SR2-2027</t>
        </is>
      </c>
      <c r="B374" s="6" t="inlineStr">
        <is>
          <t>Receita líquida — IBS/CBS por fora</t>
        </is>
      </c>
      <c r="C374" s="6" t="inlineStr">
        <is>
          <t>R$ 600.000,00 x [100% B2B x (1 - e·s)(1 - e·(1-s)) + 0% B2C x (1 - e·(1-s)) / (1 + 8,80%)] + créditos</t>
        </is>
      </c>
      <c r="D374" s="7" t="n">
        <v>537566.303330304</v>
      </c>
      <c r="E374" s="6" t="inlineStr">
        <is>
          <t>LC 214/2025; LC 123/2006 (opção pelo regime regular de IBS/CBS)</t>
        </is>
      </c>
    </row>
    <row r="375">
      <c r="A375" s="5" t="inlineStr">
        <is>
          <t>SR2-2033</t>
        </is>
      </c>
      <c r="B375" s="6" t="inlineStr">
        <is>
          <t>Anexo III: alíquota efetiva do DAS (2033)</t>
        </is>
      </c>
      <c r="C375" s="6" t="inlineStr">
        <is>
          <t>RBT12 R$ 600.000,00, 3ª faixa</t>
        </is>
      </c>
      <c r="D375" s="7" t="n">
        <v>0.1056</v>
      </c>
      <c r="E375" s="6" t="inlineStr">
        <is>
          <t>LC 123/2006, art. 18, §1º e §1º-A</t>
        </is>
      </c>
    </row>
    <row r="376">
      <c r="A376" s="5" t="inlineStr">
        <is>
          <t>SR2-2033</t>
        </is>
      </c>
      <c r="B376" s="6" t="inlineStr">
        <is>
          <t>Alíquota da fatia do DAS substituída por IBS/CBS</t>
        </is>
      </c>
      <c r="C376" s="6" t="inlineStr">
        <is>
          <t>CBS 16,60% + IBS 32,50% = 49,10% do DAS</t>
        </is>
      </c>
      <c r="D376" s="19" t="n">
        <v>0.491</v>
      </c>
      <c r="E376" s="6" t="inlineStr">
        <is>
          <t>Res. CGSN 190/2026, Anexos I a V (partilha)</t>
        </is>
      </c>
    </row>
    <row r="377">
      <c r="A377" s="5" t="inlineStr">
        <is>
          <t>SR2-2033</t>
        </is>
      </c>
      <c r="B377" s="6" t="inlineStr">
        <is>
          <t>Alíquota de IBS/CBS na venda (por fora)</t>
        </is>
      </c>
      <c r="C377" s="6" t="inlineStr">
        <is>
          <t>com redução setorial de 0%</t>
        </is>
      </c>
      <c r="D377" s="19" t="n">
        <v>0.265</v>
      </c>
      <c r="E377" s="6" t="inlineStr">
        <is>
          <t>LC 214/2025; LC 123/2006 (opção pelo regime regular de IBS/CBS)</t>
        </is>
      </c>
    </row>
    <row r="378">
      <c r="A378" s="5" t="inlineStr">
        <is>
          <t>SR2-2033</t>
        </is>
      </c>
      <c r="B378" s="6" t="inlineStr">
        <is>
          <t>Receita líquida — tudo no DAS</t>
        </is>
      </c>
      <c r="C378" s="6" t="inlineStr">
        <is>
          <t>R$ 600.000,00 x (1 - 10,56%)</t>
        </is>
      </c>
      <c r="D378" s="7" t="n">
        <v>536640</v>
      </c>
      <c r="E378" s="6" t="inlineStr">
        <is>
          <t>LC 214/2025; LC 123/2006 (opção pelo regime regular de IBS/CBS)</t>
        </is>
      </c>
    </row>
    <row r="379">
      <c r="A379" s="5" t="inlineStr">
        <is>
          <t>SR2-2033</t>
        </is>
      </c>
      <c r="B379" s="6" t="inlineStr">
        <is>
          <t>Crédito de IBS/CBS nas compras (só por fora)</t>
        </is>
      </c>
      <c r="C379" s="6" t="inlineStr">
        <is>
          <t>R$ 0,00 x 26,50%</t>
        </is>
      </c>
      <c r="D379" s="7" t="n">
        <v>0</v>
      </c>
      <c r="E379" s="6" t="inlineStr">
        <is>
          <t>LC 214/2025; LC 123/2006 (opção pelo regime regular de IBS/CBS)</t>
        </is>
      </c>
    </row>
    <row r="380">
      <c r="A380" s="5" t="inlineStr">
        <is>
          <t>SR2-2033</t>
        </is>
      </c>
      <c r="B380" s="6" t="inlineStr">
        <is>
          <t>Receita líquida — IBS/CBS por fora</t>
        </is>
      </c>
      <c r="C380" s="6" t="inlineStr">
        <is>
          <t>R$ 600.000,00 x [100% B2B x (1 - e·s)(1 - e·(1-s)) + 0% B2C x (1 - e·(1-s)) / (1 + 26,50%)] + créditos</t>
        </is>
      </c>
      <c r="D380" s="7" t="n">
        <v>538312.162043904</v>
      </c>
      <c r="E380" s="6" t="inlineStr">
        <is>
          <t>LC 214/2025; LC 123/2006 (opção pelo regime regular de IBS/CBS)</t>
        </is>
      </c>
    </row>
    <row r="381">
      <c r="A381" s="5" t="inlineStr">
        <is>
          <t>SR3-2027</t>
        </is>
      </c>
      <c r="B381" s="6" t="inlineStr">
        <is>
          <t>Anexo III: alíquota efetiva do DAS (2027)</t>
        </is>
      </c>
      <c r="C381" s="6" t="inlineStr">
        <is>
          <t>RBT12 R$ 1.200.000,00, 4ª faixa</t>
        </is>
      </c>
      <c r="D381" s="7" t="n">
        <v>0.1303</v>
      </c>
      <c r="E381" s="6" t="inlineStr">
        <is>
          <t>LC 123/2006, art. 18, §1º e §1º-A</t>
        </is>
      </c>
    </row>
    <row r="382">
      <c r="A382" s="5" t="inlineStr">
        <is>
          <t>SR3-2027</t>
        </is>
      </c>
      <c r="B382" s="6" t="inlineStr">
        <is>
          <t>Alíquota da fatia do DAS substituída por IBS/CBS</t>
        </is>
      </c>
      <c r="C382" s="6" t="inlineStr">
        <is>
          <t>CBS 16,41% + IBS 0,19% = 16,60% do DAS</t>
        </is>
      </c>
      <c r="D382" s="19" t="n">
        <v>0.166</v>
      </c>
      <c r="E382" s="6" t="inlineStr">
        <is>
          <t>Res. CGSN 190/2026, Anexos I a V (partilha)</t>
        </is>
      </c>
    </row>
    <row r="383">
      <c r="A383" s="5" t="inlineStr">
        <is>
          <t>SR3-2027</t>
        </is>
      </c>
      <c r="B383" s="6" t="inlineStr">
        <is>
          <t>Alíquota de IBS/CBS na venda (por fora)</t>
        </is>
      </c>
      <c r="C383" s="6" t="inlineStr">
        <is>
          <t>com redução setorial de 0%</t>
        </is>
      </c>
      <c r="D383" s="19" t="n">
        <v>0.08799999999999999</v>
      </c>
      <c r="E383" s="6" t="inlineStr">
        <is>
          <t>LC 214/2025; LC 123/2006 (opção pelo regime regular de IBS/CBS)</t>
        </is>
      </c>
    </row>
    <row r="384">
      <c r="A384" s="5" t="inlineStr">
        <is>
          <t>SR3-2027</t>
        </is>
      </c>
      <c r="B384" s="6" t="inlineStr">
        <is>
          <t>Receita líquida — tudo no DAS</t>
        </is>
      </c>
      <c r="C384" s="6" t="inlineStr">
        <is>
          <t>R$ 1.200.000,00 x (1 - 13,03%)</t>
        </is>
      </c>
      <c r="D384" s="7" t="n">
        <v>1043640</v>
      </c>
      <c r="E384" s="6" t="inlineStr">
        <is>
          <t>LC 214/2025; LC 123/2006 (opção pelo regime regular de IBS/CBS)</t>
        </is>
      </c>
    </row>
    <row r="385">
      <c r="A385" s="5" t="inlineStr">
        <is>
          <t>SR3-2027</t>
        </is>
      </c>
      <c r="B385" s="6" t="inlineStr">
        <is>
          <t>Crédito de IBS/CBS nas compras (só por fora)</t>
        </is>
      </c>
      <c r="C385" s="6" t="inlineStr">
        <is>
          <t>R$ 0,00 x 8,80%</t>
        </is>
      </c>
      <c r="D385" s="7" t="n">
        <v>0</v>
      </c>
      <c r="E385" s="6" t="inlineStr">
        <is>
          <t>LC 214/2025; LC 123/2006 (opção pelo regime regular de IBS/CBS)</t>
        </is>
      </c>
    </row>
    <row r="386">
      <c r="A386" s="5" t="inlineStr">
        <is>
          <t>SR3-2027</t>
        </is>
      </c>
      <c r="B386" s="6" t="inlineStr">
        <is>
          <t>Receita líquida — IBS/CBS por fora</t>
        </is>
      </c>
      <c r="C386" s="6" t="inlineStr">
        <is>
          <t>R$ 1.200.000,00 x [30% B2B x (1 - e·s)(1 - e·(1-s)) + 70% B2C x (1 - e·(1-s)) / (1 + 8,80%)] + créditos</t>
        </is>
      </c>
      <c r="D386" s="7" t="n">
        <v>1002097.222053812</v>
      </c>
      <c r="E386" s="6" t="inlineStr">
        <is>
          <t>LC 214/2025; LC 123/2006 (opção pelo regime regular de IBS/CBS)</t>
        </is>
      </c>
    </row>
    <row r="387">
      <c r="A387" s="5" t="inlineStr">
        <is>
          <t>SR3-2033</t>
        </is>
      </c>
      <c r="B387" s="6" t="inlineStr">
        <is>
          <t>Anexo III: alíquota efetiva do DAS (2033)</t>
        </is>
      </c>
      <c r="C387" s="6" t="inlineStr">
        <is>
          <t>RBT12 R$ 1.200.000,00, 4ª faixa</t>
        </is>
      </c>
      <c r="D387" s="7" t="n">
        <v>0.1303</v>
      </c>
      <c r="E387" s="6" t="inlineStr">
        <is>
          <t>LC 123/2006, art. 18, §1º e §1º-A</t>
        </is>
      </c>
    </row>
    <row r="388">
      <c r="A388" s="5" t="inlineStr">
        <is>
          <t>SR3-2033</t>
        </is>
      </c>
      <c r="B388" s="6" t="inlineStr">
        <is>
          <t>Alíquota da fatia do DAS substituída por IBS/CBS</t>
        </is>
      </c>
      <c r="C388" s="6" t="inlineStr">
        <is>
          <t>CBS 16,60% + IBS 32,50% = 49,10% do DAS</t>
        </is>
      </c>
      <c r="D388" s="19" t="n">
        <v>0.491</v>
      </c>
      <c r="E388" s="6" t="inlineStr">
        <is>
          <t>Res. CGSN 190/2026, Anexos I a V (partilha)</t>
        </is>
      </c>
    </row>
    <row r="389">
      <c r="A389" s="5" t="inlineStr">
        <is>
          <t>SR3-2033</t>
        </is>
      </c>
      <c r="B389" s="6" t="inlineStr">
        <is>
          <t>Alíquota de IBS/CBS na venda (por fora)</t>
        </is>
      </c>
      <c r="C389" s="6" t="inlineStr">
        <is>
          <t>com redução setorial de 0%</t>
        </is>
      </c>
      <c r="D389" s="19" t="n">
        <v>0.265</v>
      </c>
      <c r="E389" s="6" t="inlineStr">
        <is>
          <t>LC 214/2025; LC 123/2006 (opção pelo regime regular de IBS/CBS)</t>
        </is>
      </c>
    </row>
    <row r="390">
      <c r="A390" s="5" t="inlineStr">
        <is>
          <t>SR3-2033</t>
        </is>
      </c>
      <c r="B390" s="6" t="inlineStr">
        <is>
          <t>Receita líquida — tudo no DAS</t>
        </is>
      </c>
      <c r="C390" s="6" t="inlineStr">
        <is>
          <t>R$ 1.200.000,00 x (1 - 13,03%)</t>
        </is>
      </c>
      <c r="D390" s="7" t="n">
        <v>1043640</v>
      </c>
      <c r="E390" s="6" t="inlineStr">
        <is>
          <t>LC 214/2025; LC 123/2006 (opção pelo regime regular de IBS/CBS)</t>
        </is>
      </c>
    </row>
    <row r="391">
      <c r="A391" s="5" t="inlineStr">
        <is>
          <t>SR3-2033</t>
        </is>
      </c>
      <c r="B391" s="6" t="inlineStr">
        <is>
          <t>Crédito de IBS/CBS nas compras (só por fora)</t>
        </is>
      </c>
      <c r="C391" s="6" t="inlineStr">
        <is>
          <t>R$ 0,00 x 26,50%</t>
        </is>
      </c>
      <c r="D391" s="7" t="n">
        <v>0</v>
      </c>
      <c r="E391" s="6" t="inlineStr">
        <is>
          <t>LC 214/2025; LC 123/2006 (opção pelo regime regular de IBS/CBS)</t>
        </is>
      </c>
    </row>
    <row r="392">
      <c r="A392" s="5" t="inlineStr">
        <is>
          <t>SR3-2033</t>
        </is>
      </c>
      <c r="B392" s="6" t="inlineStr">
        <is>
          <t>Receita líquida — IBS/CBS por fora</t>
        </is>
      </c>
      <c r="C392" s="6" t="inlineStr">
        <is>
          <t>R$ 1.200.000,00 x [30% B2B x (1 - e·s)(1 - e·(1-s)) + 70% B2C x (1 - e·(1-s)) / (1 + 26,50%)] + créditos</t>
        </is>
      </c>
      <c r="D392" s="7" t="n">
        <v>934610.783611781</v>
      </c>
      <c r="E392" s="6" t="inlineStr">
        <is>
          <t>LC 214/2025; LC 123/2006 (opção pelo regime regular de IBS/CBS)</t>
        </is>
      </c>
    </row>
    <row r="393">
      <c r="A393" s="5" t="inlineStr">
        <is>
          <t>ENQ1</t>
        </is>
      </c>
      <c r="B393" s="6" t="inlineStr">
        <is>
          <t>atual: Fator R (folha 12 meses / RBT12)</t>
        </is>
      </c>
      <c r="C393" s="6" t="inlineStr">
        <is>
          <t>R$ 36.000,00 (salários + pró-labore + FGTS 8%) / R$ 600.000,00 = 6,00% -&gt; Anexo V</t>
        </is>
      </c>
      <c r="D393" s="7" t="n">
        <v>0.06</v>
      </c>
      <c r="E393" s="6" t="inlineStr">
        <is>
          <t>LC 123/2006, art. 18, §5º-J, §5º-M e §24</t>
        </is>
      </c>
    </row>
    <row r="394">
      <c r="A394" s="5" t="inlineStr">
        <is>
          <t>ENQ1</t>
        </is>
      </c>
      <c r="B394" s="6" t="inlineStr">
        <is>
          <t>atual: Alíquota efetiva - Anexo V, 3ª faixa</t>
        </is>
      </c>
      <c r="C394" s="6" t="inlineStr">
        <is>
          <t>(R$ 600.000,00 x 19,50% - R$ 9.900,00) / R$ 600.000,00 = 17,8500%</t>
        </is>
      </c>
      <c r="D394" s="7" t="n">
        <v>0.1785</v>
      </c>
      <c r="E394" s="6" t="inlineStr">
        <is>
          <t>LC 123/2006, art. 18, §1º e §1º-A</t>
        </is>
      </c>
    </row>
    <row r="395">
      <c r="A395" s="5" t="inlineStr">
        <is>
          <t>ENQ1</t>
        </is>
      </c>
      <c r="B395" s="6" t="inlineStr">
        <is>
          <t>atual: DAS anual</t>
        </is>
      </c>
      <c r="C395" s="6" t="inlineStr">
        <is>
          <t>R$ 600.000,00 x 17,8500%</t>
        </is>
      </c>
      <c r="D395" s="7" t="n">
        <v>107100</v>
      </c>
      <c r="E395" s="6" t="inlineStr">
        <is>
          <t>LC 123/2006, art. 13</t>
        </is>
      </c>
    </row>
    <row r="396">
      <c r="A396" s="5" t="inlineStr">
        <is>
          <t>ENQ1</t>
        </is>
      </c>
      <c r="B396" s="6" t="inlineStr">
        <is>
          <t>fator_r: Fator R (folha 12 meses / RBT12)</t>
        </is>
      </c>
      <c r="C396" s="6" t="inlineStr">
        <is>
          <t>R$ 168.000,00 (salários + pró-labore + FGTS 8%) / R$ 600.000,00 = 28,00% -&gt; Anexo III</t>
        </is>
      </c>
      <c r="D396" s="7" t="n">
        <v>0.28</v>
      </c>
      <c r="E396" s="6" t="inlineStr">
        <is>
          <t>LC 123/2006, art. 18, §5º-J, §5º-M e §24</t>
        </is>
      </c>
    </row>
    <row r="397">
      <c r="A397" s="5" t="inlineStr">
        <is>
          <t>ENQ1</t>
        </is>
      </c>
      <c r="B397" s="6" t="inlineStr">
        <is>
          <t>fator_r: Alíquota efetiva - Anexo III, 3ª faixa</t>
        </is>
      </c>
      <c r="C397" s="6" t="inlineStr">
        <is>
          <t>(R$ 600.000,00 x 13,50% - R$ 17.640,00) / R$ 600.000,00 = 10,5600%</t>
        </is>
      </c>
      <c r="D397" s="7" t="n">
        <v>0.1056</v>
      </c>
      <c r="E397" s="6" t="inlineStr">
        <is>
          <t>LC 123/2006, art. 18, §1º e §1º-A</t>
        </is>
      </c>
    </row>
    <row r="398">
      <c r="A398" s="5" t="inlineStr">
        <is>
          <t>ENQ1</t>
        </is>
      </c>
      <c r="B398" s="6" t="inlineStr">
        <is>
          <t>fator_r: DAS anual</t>
        </is>
      </c>
      <c r="C398" s="6" t="inlineStr">
        <is>
          <t>R$ 600.000,00 x 10,5600%</t>
        </is>
      </c>
      <c r="D398" s="7" t="n">
        <v>63360</v>
      </c>
      <c r="E398" s="6" t="inlineStr">
        <is>
          <t>LC 123/2006, art. 13</t>
        </is>
      </c>
    </row>
    <row r="399">
      <c r="A399" s="5" t="inlineStr">
        <is>
          <t>ENQ1</t>
        </is>
      </c>
      <c r="B399" s="6" t="inlineStr">
        <is>
          <t>anexo_iii_25: Fator R (folha 12 meses / RBT12)</t>
        </is>
      </c>
      <c r="C399" s="6" t="inlineStr">
        <is>
          <t>R$ 36.000,00 (salários + pró-labore + FGTS 8%) / R$ 600.000,00 = 6,00% -&gt; Anexo V</t>
        </is>
      </c>
      <c r="D399" s="7" t="n">
        <v>0.06</v>
      </c>
      <c r="E399" s="6" t="inlineStr">
        <is>
          <t>LC 123/2006, art. 18, §5º-J, §5º-M e §24</t>
        </is>
      </c>
    </row>
    <row r="400">
      <c r="A400" s="5" t="inlineStr">
        <is>
          <t>ENQ1</t>
        </is>
      </c>
      <c r="B400" s="6" t="inlineStr">
        <is>
          <t>anexo_iii_25: Alíquota efetiva - Anexo V, 3ª faixa</t>
        </is>
      </c>
      <c r="C400" s="6" t="inlineStr">
        <is>
          <t>(R$ 600.000,00 x 19,50% - R$ 9.900,00) / R$ 600.000,00 = 17,8500%</t>
        </is>
      </c>
      <c r="D400" s="7" t="n">
        <v>0.1785</v>
      </c>
      <c r="E400" s="6" t="inlineStr">
        <is>
          <t>LC 123/2006, art. 18, §1º e §1º-A</t>
        </is>
      </c>
    </row>
    <row r="401">
      <c r="A401" s="5" t="inlineStr">
        <is>
          <t>ENQ1</t>
        </is>
      </c>
      <c r="B401" s="6" t="inlineStr">
        <is>
          <t>anexo_iii_25: DAS (Anexo V, R$ 450.000,00)</t>
        </is>
      </c>
      <c r="C401" s="6" t="inlineStr">
        <is>
          <t>R$ 450.000,00 x 17,8500%</t>
        </is>
      </c>
      <c r="D401" s="7" t="n">
        <v>80325</v>
      </c>
      <c r="E401" s="6" t="inlineStr">
        <is>
          <t>LC 123/2006, art. 13</t>
        </is>
      </c>
    </row>
    <row r="402">
      <c r="A402" s="5" t="inlineStr">
        <is>
          <t>ENQ1</t>
        </is>
      </c>
      <c r="B402" s="6" t="inlineStr">
        <is>
          <t>anexo_iii_25: Alíquota efetiva - Anexo III, 3ª faixa</t>
        </is>
      </c>
      <c r="C402" s="6" t="inlineStr">
        <is>
          <t>(R$ 600.000,00 x 13,50% - R$ 17.640,00) / R$ 600.000,00 = 10,5600%</t>
        </is>
      </c>
      <c r="D402" s="7" t="n">
        <v>0.1056</v>
      </c>
      <c r="E402" s="6" t="inlineStr">
        <is>
          <t>LC 123/2006, art. 18, §1º e §1º-A</t>
        </is>
      </c>
    </row>
    <row r="403">
      <c r="A403" s="5" t="inlineStr">
        <is>
          <t>ENQ1</t>
        </is>
      </c>
      <c r="B403" s="6" t="inlineStr">
        <is>
          <t>anexo_iii_25: DAS (Anexo III, R$ 150.000,00)</t>
        </is>
      </c>
      <c r="C403" s="6" t="inlineStr">
        <is>
          <t>R$ 150.000,00 x 10,5600%</t>
        </is>
      </c>
      <c r="D403" s="7" t="n">
        <v>15840</v>
      </c>
      <c r="E403" s="6" t="inlineStr">
        <is>
          <t>LC 123/2006, art. 13</t>
        </is>
      </c>
    </row>
    <row r="404">
      <c r="A404" s="5" t="inlineStr">
        <is>
          <t>ENQ1</t>
        </is>
      </c>
      <c r="B404" s="6" t="inlineStr">
        <is>
          <t>anexo_iii_25: DAS anual</t>
        </is>
      </c>
      <c r="C404" s="6" t="inlineStr">
        <is>
          <t>R$ 80.325,00 + R$ 15.840,00</t>
        </is>
      </c>
      <c r="D404" s="7" t="n">
        <v>96165</v>
      </c>
      <c r="E404" s="6" t="inlineStr">
        <is>
          <t>LC 123/2006, art. 13 e art. 18, §§ 1º e 4º</t>
        </is>
      </c>
    </row>
    <row r="405">
      <c r="A405" s="5" t="inlineStr">
        <is>
          <t>ENQ1</t>
        </is>
      </c>
      <c r="B405" s="6" t="inlineStr">
        <is>
          <t>anexo_iii_30: Fator R (folha 12 meses / RBT12)</t>
        </is>
      </c>
      <c r="C405" s="6" t="inlineStr">
        <is>
          <t>R$ 36.000,00 (salários + pró-labore + FGTS 8%) / R$ 600.000,00 = 6,00% -&gt; Anexo V</t>
        </is>
      </c>
      <c r="D405" s="7" t="n">
        <v>0.06</v>
      </c>
      <c r="E405" s="6" t="inlineStr">
        <is>
          <t>LC 123/2006, art. 18, §5º-J, §5º-M e §24</t>
        </is>
      </c>
    </row>
    <row r="406">
      <c r="A406" s="5" t="inlineStr">
        <is>
          <t>ENQ1</t>
        </is>
      </c>
      <c r="B406" s="6" t="inlineStr">
        <is>
          <t>anexo_iii_30: Alíquota efetiva - Anexo V, 3ª faixa</t>
        </is>
      </c>
      <c r="C406" s="6" t="inlineStr">
        <is>
          <t>(R$ 600.000,00 x 19,50% - R$ 9.900,00) / R$ 600.000,00 = 17,8500%</t>
        </is>
      </c>
      <c r="D406" s="7" t="n">
        <v>0.1785</v>
      </c>
      <c r="E406" s="6" t="inlineStr">
        <is>
          <t>LC 123/2006, art. 18, §1º e §1º-A</t>
        </is>
      </c>
    </row>
    <row r="407">
      <c r="A407" s="5" t="inlineStr">
        <is>
          <t>ENQ1</t>
        </is>
      </c>
      <c r="B407" s="6" t="inlineStr">
        <is>
          <t>anexo_iii_30: DAS (Anexo V, R$ 420.000,00)</t>
        </is>
      </c>
      <c r="C407" s="6" t="inlineStr">
        <is>
          <t>R$ 420.000,00 x 17,8500%</t>
        </is>
      </c>
      <c r="D407" s="7" t="n">
        <v>74970</v>
      </c>
      <c r="E407" s="6" t="inlineStr">
        <is>
          <t>LC 123/2006, art. 13</t>
        </is>
      </c>
    </row>
    <row r="408">
      <c r="A408" s="5" t="inlineStr">
        <is>
          <t>ENQ1</t>
        </is>
      </c>
      <c r="B408" s="6" t="inlineStr">
        <is>
          <t>anexo_iii_30: Alíquota efetiva - Anexo III, 3ª faixa</t>
        </is>
      </c>
      <c r="C408" s="6" t="inlineStr">
        <is>
          <t>(R$ 600.000,00 x 13,50% - R$ 17.640,00) / R$ 600.000,00 = 10,5600%</t>
        </is>
      </c>
      <c r="D408" s="7" t="n">
        <v>0.1056</v>
      </c>
      <c r="E408" s="6" t="inlineStr">
        <is>
          <t>LC 123/2006, art. 18, §1º e §1º-A</t>
        </is>
      </c>
    </row>
    <row r="409">
      <c r="A409" s="5" t="inlineStr">
        <is>
          <t>ENQ1</t>
        </is>
      </c>
      <c r="B409" s="6" t="inlineStr">
        <is>
          <t>anexo_iii_30: DAS (Anexo III, R$ 180.000,00)</t>
        </is>
      </c>
      <c r="C409" s="6" t="inlineStr">
        <is>
          <t>R$ 180.000,00 x 10,5600%</t>
        </is>
      </c>
      <c r="D409" s="7" t="n">
        <v>19008</v>
      </c>
      <c r="E409" s="6" t="inlineStr">
        <is>
          <t>LC 123/2006, art. 13</t>
        </is>
      </c>
    </row>
    <row r="410">
      <c r="A410" s="5" t="inlineStr">
        <is>
          <t>ENQ1</t>
        </is>
      </c>
      <c r="B410" s="6" t="inlineStr">
        <is>
          <t>anexo_iii_30: DAS anual</t>
        </is>
      </c>
      <c r="C410" s="6" t="inlineStr">
        <is>
          <t>R$ 74.970,00 + R$ 19.008,00</t>
        </is>
      </c>
      <c r="D410" s="7" t="n">
        <v>93978</v>
      </c>
      <c r="E410" s="6" t="inlineStr">
        <is>
          <t>LC 123/2006, art. 13 e art. 18, §§ 1º e 4º</t>
        </is>
      </c>
    </row>
    <row r="411">
      <c r="A411" s="5" t="inlineStr">
        <is>
          <t>ENQ1</t>
        </is>
      </c>
      <c r="B411" s="6" t="inlineStr">
        <is>
          <t>anexo_iii_50: Fator R (folha 12 meses / RBT12)</t>
        </is>
      </c>
      <c r="C411" s="6" t="inlineStr">
        <is>
          <t>R$ 36.000,00 (salários + pró-labore + FGTS 8%) / R$ 600.000,00 = 6,00% -&gt; Anexo V</t>
        </is>
      </c>
      <c r="D411" s="7" t="n">
        <v>0.06</v>
      </c>
      <c r="E411" s="6" t="inlineStr">
        <is>
          <t>LC 123/2006, art. 18, §5º-J, §5º-M e §24</t>
        </is>
      </c>
    </row>
    <row r="412">
      <c r="A412" s="5" t="inlineStr">
        <is>
          <t>ENQ1</t>
        </is>
      </c>
      <c r="B412" s="6" t="inlineStr">
        <is>
          <t>anexo_iii_50: Alíquota efetiva - Anexo V, 3ª faixa</t>
        </is>
      </c>
      <c r="C412" s="6" t="inlineStr">
        <is>
          <t>(R$ 600.000,00 x 19,50% - R$ 9.900,00) / R$ 600.000,00 = 17,8500%</t>
        </is>
      </c>
      <c r="D412" s="7" t="n">
        <v>0.1785</v>
      </c>
      <c r="E412" s="6" t="inlineStr">
        <is>
          <t>LC 123/2006, art. 18, §1º e §1º-A</t>
        </is>
      </c>
    </row>
    <row r="413">
      <c r="A413" s="5" t="inlineStr">
        <is>
          <t>ENQ1</t>
        </is>
      </c>
      <c r="B413" s="6" t="inlineStr">
        <is>
          <t>anexo_iii_50: DAS (Anexo V, R$ 300.000,00)</t>
        </is>
      </c>
      <c r="C413" s="6" t="inlineStr">
        <is>
          <t>R$ 300.000,00 x 17,8500%</t>
        </is>
      </c>
      <c r="D413" s="7" t="n">
        <v>53550</v>
      </c>
      <c r="E413" s="6" t="inlineStr">
        <is>
          <t>LC 123/2006, art. 13</t>
        </is>
      </c>
    </row>
    <row r="414">
      <c r="A414" s="5" t="inlineStr">
        <is>
          <t>ENQ1</t>
        </is>
      </c>
      <c r="B414" s="6" t="inlineStr">
        <is>
          <t>anexo_iii_50: Alíquota efetiva - Anexo III, 3ª faixa</t>
        </is>
      </c>
      <c r="C414" s="6" t="inlineStr">
        <is>
          <t>(R$ 600.000,00 x 13,50% - R$ 17.640,00) / R$ 600.000,00 = 10,5600%</t>
        </is>
      </c>
      <c r="D414" s="7" t="n">
        <v>0.1056</v>
      </c>
      <c r="E414" s="6" t="inlineStr">
        <is>
          <t>LC 123/2006, art. 18, §1º e §1º-A</t>
        </is>
      </c>
    </row>
    <row r="415">
      <c r="A415" s="5" t="inlineStr">
        <is>
          <t>ENQ1</t>
        </is>
      </c>
      <c r="B415" s="6" t="inlineStr">
        <is>
          <t>anexo_iii_50: DAS (Anexo III, R$ 300.000,00)</t>
        </is>
      </c>
      <c r="C415" s="6" t="inlineStr">
        <is>
          <t>R$ 300.000,00 x 10,5600%</t>
        </is>
      </c>
      <c r="D415" s="7" t="n">
        <v>31680</v>
      </c>
      <c r="E415" s="6" t="inlineStr">
        <is>
          <t>LC 123/2006, art. 13</t>
        </is>
      </c>
    </row>
    <row r="416">
      <c r="A416" s="5" t="inlineStr">
        <is>
          <t>ENQ1</t>
        </is>
      </c>
      <c r="B416" s="6" t="inlineStr">
        <is>
          <t>anexo_iii_50: DAS anual</t>
        </is>
      </c>
      <c r="C416" s="6" t="inlineStr">
        <is>
          <t>R$ 53.550,00 + R$ 31.680,00</t>
        </is>
      </c>
      <c r="D416" s="7" t="n">
        <v>85230</v>
      </c>
      <c r="E416" s="6" t="inlineStr">
        <is>
          <t>LC 123/2006, art. 13 e art. 18, §§ 1º e 4º</t>
        </is>
      </c>
    </row>
    <row r="417">
      <c r="A417" s="5" t="inlineStr">
        <is>
          <t>ENQ1</t>
        </is>
      </c>
      <c r="B417" s="6" t="inlineStr">
        <is>
          <t>anexo_iii_100: Alíquota efetiva - Anexo III, 3ª faixa</t>
        </is>
      </c>
      <c r="C417" s="6" t="inlineStr">
        <is>
          <t>(R$ 600.000,00 x 13,50% - R$ 17.640,00) / R$ 600.000,00 = 10,5600%</t>
        </is>
      </c>
      <c r="D417" s="7" t="n">
        <v>0.1056</v>
      </c>
      <c r="E417" s="6" t="inlineStr">
        <is>
          <t>LC 123/2006, art. 18, §1º e §1º-A</t>
        </is>
      </c>
    </row>
    <row r="418">
      <c r="A418" s="5" t="inlineStr">
        <is>
          <t>ENQ1</t>
        </is>
      </c>
      <c r="B418" s="6" t="inlineStr">
        <is>
          <t>anexo_iii_100: DAS anual</t>
        </is>
      </c>
      <c r="C418" s="6" t="inlineStr">
        <is>
          <t>R$ 600.000,00 x 10,5600%</t>
        </is>
      </c>
      <c r="D418" s="7" t="n">
        <v>63360</v>
      </c>
      <c r="E418" s="6" t="inlineStr">
        <is>
          <t>LC 123/2006, art. 13</t>
        </is>
      </c>
    </row>
    <row r="419">
      <c r="A419" s="5" t="inlineStr">
        <is>
          <t>ENQ2</t>
        </is>
      </c>
      <c r="B419" s="6" t="inlineStr">
        <is>
          <t>atual: Fator R (folha 12 meses / RBT12)</t>
        </is>
      </c>
      <c r="C419" s="6" t="inlineStr">
        <is>
          <t>R$ 210.000,00 (salários + pró-labore + FGTS 8%) / R$ 1.200.000,00 = 17,50% -&gt; Anexo V</t>
        </is>
      </c>
      <c r="D419" s="7" t="n">
        <v>0.175</v>
      </c>
      <c r="E419" s="6" t="inlineStr">
        <is>
          <t>LC 123/2006, art. 18, §5º-J, §5º-M e §24</t>
        </is>
      </c>
    </row>
    <row r="420">
      <c r="A420" s="5" t="inlineStr">
        <is>
          <t>ENQ2</t>
        </is>
      </c>
      <c r="B420" s="6" t="inlineStr">
        <is>
          <t>atual: Alíquota efetiva - Anexo V, 4ª faixa</t>
        </is>
      </c>
      <c r="C420" s="6" t="inlineStr">
        <is>
          <t>(R$ 1.200.000,00 x 20,50% - R$ 17.100,00) / R$ 1.200.000,00 = 19,0750%</t>
        </is>
      </c>
      <c r="D420" s="7" t="n">
        <v>0.19075</v>
      </c>
      <c r="E420" s="6" t="inlineStr">
        <is>
          <t>LC 123/2006, art. 18, §1º e §1º-A</t>
        </is>
      </c>
    </row>
    <row r="421">
      <c r="A421" s="5" t="inlineStr">
        <is>
          <t>ENQ2</t>
        </is>
      </c>
      <c r="B421" s="6" t="inlineStr">
        <is>
          <t>atual: DAS anual</t>
        </is>
      </c>
      <c r="C421" s="6" t="inlineStr">
        <is>
          <t>R$ 1.200.000,00 x 19,0750%</t>
        </is>
      </c>
      <c r="D421" s="7" t="n">
        <v>228900</v>
      </c>
      <c r="E421" s="6" t="inlineStr">
        <is>
          <t>LC 123/2006, art. 13</t>
        </is>
      </c>
    </row>
    <row r="422">
      <c r="A422" s="5" t="inlineStr">
        <is>
          <t>ENQ2</t>
        </is>
      </c>
      <c r="B422" s="6" t="inlineStr">
        <is>
          <t>fator_r: Fator R (folha 12 meses / RBT12)</t>
        </is>
      </c>
      <c r="C422" s="6" t="inlineStr">
        <is>
          <t>R$ 336.000,00 (salários + pró-labore + FGTS 8%) / R$ 1.200.000,00 = 28,00% -&gt; Anexo III</t>
        </is>
      </c>
      <c r="D422" s="7" t="n">
        <v>0.28</v>
      </c>
      <c r="E422" s="6" t="inlineStr">
        <is>
          <t>LC 123/2006, art. 18, §5º-J, §5º-M e §24</t>
        </is>
      </c>
    </row>
    <row r="423">
      <c r="A423" s="5" t="inlineStr">
        <is>
          <t>ENQ2</t>
        </is>
      </c>
      <c r="B423" s="6" t="inlineStr">
        <is>
          <t>fator_r: Alíquota efetiva - Anexo III, 4ª faixa</t>
        </is>
      </c>
      <c r="C423" s="6" t="inlineStr">
        <is>
          <t>(R$ 1.200.000,00 x 16,00% - R$ 35.640,00) / R$ 1.200.000,00 = 13,0300%</t>
        </is>
      </c>
      <c r="D423" s="7" t="n">
        <v>0.1303</v>
      </c>
      <c r="E423" s="6" t="inlineStr">
        <is>
          <t>LC 123/2006, art. 18, §1º e §1º-A</t>
        </is>
      </c>
    </row>
    <row r="424">
      <c r="A424" s="5" t="inlineStr">
        <is>
          <t>ENQ2</t>
        </is>
      </c>
      <c r="B424" s="6" t="inlineStr">
        <is>
          <t>fator_r: DAS anual</t>
        </is>
      </c>
      <c r="C424" s="6" t="inlineStr">
        <is>
          <t>R$ 1.200.000,00 x 13,0300%</t>
        </is>
      </c>
      <c r="D424" s="7" t="n">
        <v>156360</v>
      </c>
      <c r="E424" s="6" t="inlineStr">
        <is>
          <t>LC 123/2006, art. 13</t>
        </is>
      </c>
    </row>
    <row r="425">
      <c r="A425" s="5" t="inlineStr">
        <is>
          <t>ENQ2</t>
        </is>
      </c>
      <c r="B425" s="6" t="inlineStr">
        <is>
          <t>anexo_iii_25: Fator R (folha 12 meses / RBT12)</t>
        </is>
      </c>
      <c r="C425" s="6" t="inlineStr">
        <is>
          <t>R$ 210.000,00 (salários + pró-labore + FGTS 8%) / R$ 1.200.000,00 = 17,50% -&gt; Anexo V</t>
        </is>
      </c>
      <c r="D425" s="7" t="n">
        <v>0.175</v>
      </c>
      <c r="E425" s="6" t="inlineStr">
        <is>
          <t>LC 123/2006, art. 18, §5º-J, §5º-M e §24</t>
        </is>
      </c>
    </row>
    <row r="426">
      <c r="A426" s="5" t="inlineStr">
        <is>
          <t>ENQ2</t>
        </is>
      </c>
      <c r="B426" s="6" t="inlineStr">
        <is>
          <t>anexo_iii_25: Alíquota efetiva - Anexo V, 4ª faixa</t>
        </is>
      </c>
      <c r="C426" s="6" t="inlineStr">
        <is>
          <t>(R$ 1.200.000,00 x 20,50% - R$ 17.100,00) / R$ 1.200.000,00 = 19,0750%</t>
        </is>
      </c>
      <c r="D426" s="7" t="n">
        <v>0.19075</v>
      </c>
      <c r="E426" s="6" t="inlineStr">
        <is>
          <t>LC 123/2006, art. 18, §1º e §1º-A</t>
        </is>
      </c>
    </row>
    <row r="427">
      <c r="A427" s="5" t="inlineStr">
        <is>
          <t>ENQ2</t>
        </is>
      </c>
      <c r="B427" s="6" t="inlineStr">
        <is>
          <t>anexo_iii_25: DAS (Anexo V, R$ 900.000,00)</t>
        </is>
      </c>
      <c r="C427" s="6" t="inlineStr">
        <is>
          <t>R$ 900.000,00 x 19,0750%</t>
        </is>
      </c>
      <c r="D427" s="7" t="n">
        <v>171675</v>
      </c>
      <c r="E427" s="6" t="inlineStr">
        <is>
          <t>LC 123/2006, art. 13</t>
        </is>
      </c>
    </row>
    <row r="428">
      <c r="A428" s="5" t="inlineStr">
        <is>
          <t>ENQ2</t>
        </is>
      </c>
      <c r="B428" s="6" t="inlineStr">
        <is>
          <t>anexo_iii_25: Alíquota efetiva - Anexo III, 4ª faixa</t>
        </is>
      </c>
      <c r="C428" s="6" t="inlineStr">
        <is>
          <t>(R$ 1.200.000,00 x 16,00% - R$ 35.640,00) / R$ 1.200.000,00 = 13,0300%</t>
        </is>
      </c>
      <c r="D428" s="7" t="n">
        <v>0.1303</v>
      </c>
      <c r="E428" s="6" t="inlineStr">
        <is>
          <t>LC 123/2006, art. 18, §1º e §1º-A</t>
        </is>
      </c>
    </row>
    <row r="429">
      <c r="A429" s="5" t="inlineStr">
        <is>
          <t>ENQ2</t>
        </is>
      </c>
      <c r="B429" s="6" t="inlineStr">
        <is>
          <t>anexo_iii_25: DAS (Anexo III, R$ 300.000,00)</t>
        </is>
      </c>
      <c r="C429" s="6" t="inlineStr">
        <is>
          <t>R$ 300.000,00 x 13,0300%</t>
        </is>
      </c>
      <c r="D429" s="7" t="n">
        <v>39090</v>
      </c>
      <c r="E429" s="6" t="inlineStr">
        <is>
          <t>LC 123/2006, art. 13</t>
        </is>
      </c>
    </row>
    <row r="430">
      <c r="A430" s="5" t="inlineStr">
        <is>
          <t>ENQ2</t>
        </is>
      </c>
      <c r="B430" s="6" t="inlineStr">
        <is>
          <t>anexo_iii_25: DAS anual</t>
        </is>
      </c>
      <c r="C430" s="6" t="inlineStr">
        <is>
          <t>R$ 171.675,00 + R$ 39.090,00</t>
        </is>
      </c>
      <c r="D430" s="7" t="n">
        <v>210765</v>
      </c>
      <c r="E430" s="6" t="inlineStr">
        <is>
          <t>LC 123/2006, art. 13 e art. 18, §§ 1º e 4º</t>
        </is>
      </c>
    </row>
    <row r="431">
      <c r="A431" s="5" t="inlineStr">
        <is>
          <t>ENQ2</t>
        </is>
      </c>
      <c r="B431" s="6" t="inlineStr">
        <is>
          <t>anexo_iii_50: Fator R (folha 12 meses / RBT12)</t>
        </is>
      </c>
      <c r="C431" s="6" t="inlineStr">
        <is>
          <t>R$ 210.000,00 (salários + pró-labore + FGTS 8%) / R$ 1.200.000,00 = 17,50% -&gt; Anexo V</t>
        </is>
      </c>
      <c r="D431" s="7" t="n">
        <v>0.175</v>
      </c>
      <c r="E431" s="6" t="inlineStr">
        <is>
          <t>LC 123/2006, art. 18, §5º-J, §5º-M e §24</t>
        </is>
      </c>
    </row>
    <row r="432">
      <c r="A432" s="5" t="inlineStr">
        <is>
          <t>ENQ2</t>
        </is>
      </c>
      <c r="B432" s="6" t="inlineStr">
        <is>
          <t>anexo_iii_50: Alíquota efetiva - Anexo V, 4ª faixa</t>
        </is>
      </c>
      <c r="C432" s="6" t="inlineStr">
        <is>
          <t>(R$ 1.200.000,00 x 20,50% - R$ 17.100,00) / R$ 1.200.000,00 = 19,0750%</t>
        </is>
      </c>
      <c r="D432" s="7" t="n">
        <v>0.19075</v>
      </c>
      <c r="E432" s="6" t="inlineStr">
        <is>
          <t>LC 123/2006, art. 18, §1º e §1º-A</t>
        </is>
      </c>
    </row>
    <row r="433">
      <c r="A433" s="5" t="inlineStr">
        <is>
          <t>ENQ2</t>
        </is>
      </c>
      <c r="B433" s="6" t="inlineStr">
        <is>
          <t>anexo_iii_50: DAS (Anexo V, R$ 600.000,00)</t>
        </is>
      </c>
      <c r="C433" s="6" t="inlineStr">
        <is>
          <t>R$ 600.000,00 x 19,0750%</t>
        </is>
      </c>
      <c r="D433" s="7" t="n">
        <v>114450</v>
      </c>
      <c r="E433" s="6" t="inlineStr">
        <is>
          <t>LC 123/2006, art. 13</t>
        </is>
      </c>
    </row>
    <row r="434">
      <c r="A434" s="5" t="inlineStr">
        <is>
          <t>ENQ2</t>
        </is>
      </c>
      <c r="B434" s="6" t="inlineStr">
        <is>
          <t>anexo_iii_50: Alíquota efetiva - Anexo III, 4ª faixa</t>
        </is>
      </c>
      <c r="C434" s="6" t="inlineStr">
        <is>
          <t>(R$ 1.200.000,00 x 16,00% - R$ 35.640,00) / R$ 1.200.000,00 = 13,0300%</t>
        </is>
      </c>
      <c r="D434" s="7" t="n">
        <v>0.1303</v>
      </c>
      <c r="E434" s="6" t="inlineStr">
        <is>
          <t>LC 123/2006, art. 18, §1º e §1º-A</t>
        </is>
      </c>
    </row>
    <row r="435">
      <c r="A435" s="5" t="inlineStr">
        <is>
          <t>ENQ2</t>
        </is>
      </c>
      <c r="B435" s="6" t="inlineStr">
        <is>
          <t>anexo_iii_50: DAS (Anexo III, R$ 600.000,00)</t>
        </is>
      </c>
      <c r="C435" s="6" t="inlineStr">
        <is>
          <t>R$ 600.000,00 x 13,0300%</t>
        </is>
      </c>
      <c r="D435" s="7" t="n">
        <v>78180</v>
      </c>
      <c r="E435" s="6" t="inlineStr">
        <is>
          <t>LC 123/2006, art. 13</t>
        </is>
      </c>
    </row>
    <row r="436">
      <c r="A436" s="5" t="inlineStr">
        <is>
          <t>ENQ2</t>
        </is>
      </c>
      <c r="B436" s="6" t="inlineStr">
        <is>
          <t>anexo_iii_50: DAS anual</t>
        </is>
      </c>
      <c r="C436" s="6" t="inlineStr">
        <is>
          <t>R$ 114.450,00 + R$ 78.180,00</t>
        </is>
      </c>
      <c r="D436" s="7" t="n">
        <v>192630</v>
      </c>
      <c r="E436" s="6" t="inlineStr">
        <is>
          <t>LC 123/2006, art. 13 e art. 18, §§ 1º e 4º</t>
        </is>
      </c>
    </row>
    <row r="437">
      <c r="A437" s="5" t="inlineStr">
        <is>
          <t>ENQ2</t>
        </is>
      </c>
      <c r="B437" s="6" t="inlineStr">
        <is>
          <t>anexo_iii_100: Alíquota efetiva - Anexo III, 4ª faixa</t>
        </is>
      </c>
      <c r="C437" s="6" t="inlineStr">
        <is>
          <t>(R$ 1.200.000,00 x 16,00% - R$ 35.640,00) / R$ 1.200.000,00 = 13,0300%</t>
        </is>
      </c>
      <c r="D437" s="7" t="n">
        <v>0.1303</v>
      </c>
      <c r="E437" s="6" t="inlineStr">
        <is>
          <t>LC 123/2006, art. 18, §1º e §1º-A</t>
        </is>
      </c>
    </row>
    <row r="438">
      <c r="A438" s="5" t="inlineStr">
        <is>
          <t>ENQ2</t>
        </is>
      </c>
      <c r="B438" s="6" t="inlineStr">
        <is>
          <t>anexo_iii_100: DAS anual</t>
        </is>
      </c>
      <c r="C438" s="6" t="inlineStr">
        <is>
          <t>R$ 1.200.000,00 x 13,0300%</t>
        </is>
      </c>
      <c r="D438" s="7" t="n">
        <v>156360</v>
      </c>
      <c r="E438" s="6" t="inlineStr">
        <is>
          <t>LC 123/2006, art. 13</t>
        </is>
      </c>
    </row>
    <row r="439">
      <c r="A439" s="5" t="inlineStr">
        <is>
          <t>ENQ3</t>
        </is>
      </c>
      <c r="B439" s="6" t="inlineStr">
        <is>
          <t>atual: Fator R (folha 12 meses / RBT12)</t>
        </is>
      </c>
      <c r="C439" s="6" t="inlineStr">
        <is>
          <t>R$ 24.000,00 (salários + pró-labore + FGTS 8%) / R$ 300.000,00 = 8,00% -&gt; Anexo V</t>
        </is>
      </c>
      <c r="D439" s="7" t="n">
        <v>0.08</v>
      </c>
      <c r="E439" s="6" t="inlineStr">
        <is>
          <t>LC 123/2006, art. 18, §5º-J, §5º-M e §24</t>
        </is>
      </c>
    </row>
    <row r="440">
      <c r="A440" s="5" t="inlineStr">
        <is>
          <t>ENQ3</t>
        </is>
      </c>
      <c r="B440" s="6" t="inlineStr">
        <is>
          <t>atual: Alíquota efetiva - Anexo V, 2ª faixa</t>
        </is>
      </c>
      <c r="C440" s="6" t="inlineStr">
        <is>
          <t>(R$ 300.000,00 x 18,00% - R$ 4.500,00) / R$ 300.000,00 = 16,5000%</t>
        </is>
      </c>
      <c r="D440" s="7" t="n">
        <v>0.165</v>
      </c>
      <c r="E440" s="6" t="inlineStr">
        <is>
          <t>LC 123/2006, art. 18, §1º e §1º-A</t>
        </is>
      </c>
    </row>
    <row r="441">
      <c r="A441" s="5" t="inlineStr">
        <is>
          <t>ENQ3</t>
        </is>
      </c>
      <c r="B441" s="6" t="inlineStr">
        <is>
          <t>atual: DAS anual</t>
        </is>
      </c>
      <c r="C441" s="6" t="inlineStr">
        <is>
          <t>R$ 300.000,00 x 16,5000%</t>
        </is>
      </c>
      <c r="D441" s="7" t="n">
        <v>49500</v>
      </c>
      <c r="E441" s="6" t="inlineStr">
        <is>
          <t>LC 123/2006, art. 13</t>
        </is>
      </c>
    </row>
    <row r="442">
      <c r="A442" s="5" t="inlineStr">
        <is>
          <t>ENQ3</t>
        </is>
      </c>
      <c r="B442" s="6" t="inlineStr">
        <is>
          <t>fator_r: Fator R (folha 12 meses / RBT12)</t>
        </is>
      </c>
      <c r="C442" s="6" t="inlineStr">
        <is>
          <t>R$ 84.000,00 (salários + pró-labore + FGTS 8%) / R$ 300.000,00 = 28,00% -&gt; Anexo III</t>
        </is>
      </c>
      <c r="D442" s="7" t="n">
        <v>0.28</v>
      </c>
      <c r="E442" s="6" t="inlineStr">
        <is>
          <t>LC 123/2006, art. 18, §5º-J, §5º-M e §24</t>
        </is>
      </c>
    </row>
    <row r="443">
      <c r="A443" s="5" t="inlineStr">
        <is>
          <t>ENQ3</t>
        </is>
      </c>
      <c r="B443" s="6" t="inlineStr">
        <is>
          <t>fator_r: Alíquota efetiva - Anexo III, 2ª faixa</t>
        </is>
      </c>
      <c r="C443" s="6" t="inlineStr">
        <is>
          <t>(R$ 300.000,00 x 11,20% - R$ 9.360,00) / R$ 300.000,00 = 8,0800%</t>
        </is>
      </c>
      <c r="D443" s="7" t="n">
        <v>0.0808</v>
      </c>
      <c r="E443" s="6" t="inlineStr">
        <is>
          <t>LC 123/2006, art. 18, §1º e §1º-A</t>
        </is>
      </c>
    </row>
    <row r="444">
      <c r="A444" s="5" t="inlineStr">
        <is>
          <t>ENQ3</t>
        </is>
      </c>
      <c r="B444" s="6" t="inlineStr">
        <is>
          <t>fator_r: DAS anual</t>
        </is>
      </c>
      <c r="C444" s="6" t="inlineStr">
        <is>
          <t>R$ 300.000,00 x 8,0800%</t>
        </is>
      </c>
      <c r="D444" s="7" t="n">
        <v>24240</v>
      </c>
      <c r="E444" s="6" t="inlineStr">
        <is>
          <t>LC 123/2006, art. 13</t>
        </is>
      </c>
    </row>
    <row r="445">
      <c r="A445" s="5" t="inlineStr">
        <is>
          <t>ENQ3</t>
        </is>
      </c>
      <c r="B445" s="6" t="inlineStr">
        <is>
          <t>anexo_iii_25: Fator R (folha 12 meses / RBT12)</t>
        </is>
      </c>
      <c r="C445" s="6" t="inlineStr">
        <is>
          <t>R$ 24.000,00 (salários + pró-labore + FGTS 8%) / R$ 300.000,00 = 8,00% -&gt; Anexo V</t>
        </is>
      </c>
      <c r="D445" s="7" t="n">
        <v>0.08</v>
      </c>
      <c r="E445" s="6" t="inlineStr">
        <is>
          <t>LC 123/2006, art. 18, §5º-J, §5º-M e §24</t>
        </is>
      </c>
    </row>
    <row r="446">
      <c r="A446" s="5" t="inlineStr">
        <is>
          <t>ENQ3</t>
        </is>
      </c>
      <c r="B446" s="6" t="inlineStr">
        <is>
          <t>anexo_iii_25: Alíquota efetiva - Anexo V, 2ª faixa</t>
        </is>
      </c>
      <c r="C446" s="6" t="inlineStr">
        <is>
          <t>(R$ 300.000,00 x 18,00% - R$ 4.500,00) / R$ 300.000,00 = 16,5000%</t>
        </is>
      </c>
      <c r="D446" s="7" t="n">
        <v>0.165</v>
      </c>
      <c r="E446" s="6" t="inlineStr">
        <is>
          <t>LC 123/2006, art. 18, §1º e §1º-A</t>
        </is>
      </c>
    </row>
    <row r="447">
      <c r="A447" s="5" t="inlineStr">
        <is>
          <t>ENQ3</t>
        </is>
      </c>
      <c r="B447" s="6" t="inlineStr">
        <is>
          <t>anexo_iii_25: DAS (Anexo V, R$ 225.000,00)</t>
        </is>
      </c>
      <c r="C447" s="6" t="inlineStr">
        <is>
          <t>R$ 225.000,00 x 16,5000%</t>
        </is>
      </c>
      <c r="D447" s="7" t="n">
        <v>37125</v>
      </c>
      <c r="E447" s="6" t="inlineStr">
        <is>
          <t>LC 123/2006, art. 13</t>
        </is>
      </c>
    </row>
    <row r="448">
      <c r="A448" s="5" t="inlineStr">
        <is>
          <t>ENQ3</t>
        </is>
      </c>
      <c r="B448" s="6" t="inlineStr">
        <is>
          <t>anexo_iii_25: Alíquota efetiva - Anexo III, 2ª faixa</t>
        </is>
      </c>
      <c r="C448" s="6" t="inlineStr">
        <is>
          <t>(R$ 300.000,00 x 11,20% - R$ 9.360,00) / R$ 300.000,00 = 8,0800%</t>
        </is>
      </c>
      <c r="D448" s="7" t="n">
        <v>0.0808</v>
      </c>
      <c r="E448" s="6" t="inlineStr">
        <is>
          <t>LC 123/2006, art. 18, §1º e §1º-A</t>
        </is>
      </c>
    </row>
    <row r="449">
      <c r="A449" s="5" t="inlineStr">
        <is>
          <t>ENQ3</t>
        </is>
      </c>
      <c r="B449" s="6" t="inlineStr">
        <is>
          <t>anexo_iii_25: DAS (Anexo III, R$ 75.000,00)</t>
        </is>
      </c>
      <c r="C449" s="6" t="inlineStr">
        <is>
          <t>R$ 75.000,00 x 8,0800%</t>
        </is>
      </c>
      <c r="D449" s="7" t="n">
        <v>6060</v>
      </c>
      <c r="E449" s="6" t="inlineStr">
        <is>
          <t>LC 123/2006, art. 13</t>
        </is>
      </c>
    </row>
    <row r="450">
      <c r="A450" s="5" t="inlineStr">
        <is>
          <t>ENQ3</t>
        </is>
      </c>
      <c r="B450" s="6" t="inlineStr">
        <is>
          <t>anexo_iii_25: DAS anual</t>
        </is>
      </c>
      <c r="C450" s="6" t="inlineStr">
        <is>
          <t>R$ 37.125,00 + R$ 6.060,00</t>
        </is>
      </c>
      <c r="D450" s="7" t="n">
        <v>43185</v>
      </c>
      <c r="E450" s="6" t="inlineStr">
        <is>
          <t>LC 123/2006, art. 13 e art. 18, §§ 1º e 4º</t>
        </is>
      </c>
    </row>
    <row r="451">
      <c r="A451" s="5" t="inlineStr">
        <is>
          <t>ENQ3</t>
        </is>
      </c>
      <c r="B451" s="6" t="inlineStr">
        <is>
          <t>anexo_iii_50: Fator R (folha 12 meses / RBT12)</t>
        </is>
      </c>
      <c r="C451" s="6" t="inlineStr">
        <is>
          <t>R$ 24.000,00 (salários + pró-labore + FGTS 8%) / R$ 300.000,00 = 8,00% -&gt; Anexo V</t>
        </is>
      </c>
      <c r="D451" s="7" t="n">
        <v>0.08</v>
      </c>
      <c r="E451" s="6" t="inlineStr">
        <is>
          <t>LC 123/2006, art. 18, §5º-J, §5º-M e §24</t>
        </is>
      </c>
    </row>
    <row r="452">
      <c r="A452" s="5" t="inlineStr">
        <is>
          <t>ENQ3</t>
        </is>
      </c>
      <c r="B452" s="6" t="inlineStr">
        <is>
          <t>anexo_iii_50: Alíquota efetiva - Anexo V, 2ª faixa</t>
        </is>
      </c>
      <c r="C452" s="6" t="inlineStr">
        <is>
          <t>(R$ 300.000,00 x 18,00% - R$ 4.500,00) / R$ 300.000,00 = 16,5000%</t>
        </is>
      </c>
      <c r="D452" s="7" t="n">
        <v>0.165</v>
      </c>
      <c r="E452" s="6" t="inlineStr">
        <is>
          <t>LC 123/2006, art. 18, §1º e §1º-A</t>
        </is>
      </c>
    </row>
    <row r="453">
      <c r="A453" s="5" t="inlineStr">
        <is>
          <t>ENQ3</t>
        </is>
      </c>
      <c r="B453" s="6" t="inlineStr">
        <is>
          <t>anexo_iii_50: DAS (Anexo V, R$ 150.000,00)</t>
        </is>
      </c>
      <c r="C453" s="6" t="inlineStr">
        <is>
          <t>R$ 150.000,00 x 16,5000%</t>
        </is>
      </c>
      <c r="D453" s="7" t="n">
        <v>24750</v>
      </c>
      <c r="E453" s="6" t="inlineStr">
        <is>
          <t>LC 123/2006, art. 13</t>
        </is>
      </c>
    </row>
    <row r="454">
      <c r="A454" s="5" t="inlineStr">
        <is>
          <t>ENQ3</t>
        </is>
      </c>
      <c r="B454" s="6" t="inlineStr">
        <is>
          <t>anexo_iii_50: Alíquota efetiva - Anexo III, 2ª faixa</t>
        </is>
      </c>
      <c r="C454" s="6" t="inlineStr">
        <is>
          <t>(R$ 300.000,00 x 11,20% - R$ 9.360,00) / R$ 300.000,00 = 8,0800%</t>
        </is>
      </c>
      <c r="D454" s="7" t="n">
        <v>0.0808</v>
      </c>
      <c r="E454" s="6" t="inlineStr">
        <is>
          <t>LC 123/2006, art. 18, §1º e §1º-A</t>
        </is>
      </c>
    </row>
    <row r="455">
      <c r="A455" s="5" t="inlineStr">
        <is>
          <t>ENQ3</t>
        </is>
      </c>
      <c r="B455" s="6" t="inlineStr">
        <is>
          <t>anexo_iii_50: DAS (Anexo III, R$ 150.000,00)</t>
        </is>
      </c>
      <c r="C455" s="6" t="inlineStr">
        <is>
          <t>R$ 150.000,00 x 8,0800%</t>
        </is>
      </c>
      <c r="D455" s="7" t="n">
        <v>12120</v>
      </c>
      <c r="E455" s="6" t="inlineStr">
        <is>
          <t>LC 123/2006, art. 13</t>
        </is>
      </c>
    </row>
    <row r="456">
      <c r="A456" s="5" t="inlineStr">
        <is>
          <t>ENQ3</t>
        </is>
      </c>
      <c r="B456" s="6" t="inlineStr">
        <is>
          <t>anexo_iii_50: DAS anual</t>
        </is>
      </c>
      <c r="C456" s="6" t="inlineStr">
        <is>
          <t>R$ 24.750,00 + R$ 12.120,00</t>
        </is>
      </c>
      <c r="D456" s="7" t="n">
        <v>36870</v>
      </c>
      <c r="E456" s="6" t="inlineStr">
        <is>
          <t>LC 123/2006, art. 13 e art. 18, §§ 1º e 4º</t>
        </is>
      </c>
    </row>
    <row r="457">
      <c r="A457" s="5" t="inlineStr">
        <is>
          <t>ENQ3</t>
        </is>
      </c>
      <c r="B457" s="6" t="inlineStr">
        <is>
          <t>anexo_iii_100: Alíquota efetiva - Anexo III, 2ª faixa</t>
        </is>
      </c>
      <c r="C457" s="6" t="inlineStr">
        <is>
          <t>(R$ 300.000,00 x 11,20% - R$ 9.360,00) / R$ 300.000,00 = 8,0800%</t>
        </is>
      </c>
      <c r="D457" s="7" t="n">
        <v>0.0808</v>
      </c>
      <c r="E457" s="6" t="inlineStr">
        <is>
          <t>LC 123/2006, art. 18, §1º e §1º-A</t>
        </is>
      </c>
    </row>
    <row r="458">
      <c r="A458" s="5" t="inlineStr">
        <is>
          <t>ENQ3</t>
        </is>
      </c>
      <c r="B458" s="6" t="inlineStr">
        <is>
          <t>anexo_iii_100: DAS anual</t>
        </is>
      </c>
      <c r="C458" s="6" t="inlineStr">
        <is>
          <t>R$ 300.000,00 x 8,0800%</t>
        </is>
      </c>
      <c r="D458" s="7" t="n">
        <v>24240</v>
      </c>
      <c r="E458" s="6" t="inlineStr">
        <is>
          <t>LC 123/2006, art. 13</t>
        </is>
      </c>
    </row>
    <row r="459">
      <c r="A459" s="5" t="inlineStr">
        <is>
          <t>ENQ4</t>
        </is>
      </c>
      <c r="B459" s="6" t="inlineStr">
        <is>
          <t>atual: Fator R (folha 12 meses / RBT12)</t>
        </is>
      </c>
      <c r="C459" s="6" t="inlineStr">
        <is>
          <t>R$ 444.000,00 (salários + pró-labore + FGTS 8%) / R$ 2.400.000,00 = 18,50% -&gt; Anexo V</t>
        </is>
      </c>
      <c r="D459" s="7" t="n">
        <v>0.185</v>
      </c>
      <c r="E459" s="6" t="inlineStr">
        <is>
          <t>LC 123/2006, art. 18, §5º-J, §5º-M e §24</t>
        </is>
      </c>
    </row>
    <row r="460">
      <c r="A460" s="5" t="inlineStr">
        <is>
          <t>ENQ4</t>
        </is>
      </c>
      <c r="B460" s="6" t="inlineStr">
        <is>
          <t>atual: Alíquota efetiva - Anexo V, 5ª faixa</t>
        </is>
      </c>
      <c r="C460" s="6" t="inlineStr">
        <is>
          <t>(R$ 2.400.000,00 x 23,00% - R$ 62.100,00) / R$ 2.400.000,00 = 20,4125%</t>
        </is>
      </c>
      <c r="D460" s="7" t="n">
        <v>0.204125</v>
      </c>
      <c r="E460" s="6" t="inlineStr">
        <is>
          <t>LC 123/2006, art. 18, §1º e §1º-A</t>
        </is>
      </c>
    </row>
    <row r="461">
      <c r="A461" s="5" t="inlineStr">
        <is>
          <t>ENQ4</t>
        </is>
      </c>
      <c r="B461" s="6" t="inlineStr">
        <is>
          <t>atual: DAS anual</t>
        </is>
      </c>
      <c r="C461" s="6" t="inlineStr">
        <is>
          <t>R$ 2.400.000,00 x 20,4125%</t>
        </is>
      </c>
      <c r="D461" s="7" t="n">
        <v>489900</v>
      </c>
      <c r="E461" s="6" t="inlineStr">
        <is>
          <t>LC 123/2006, art. 13</t>
        </is>
      </c>
    </row>
    <row r="462">
      <c r="A462" s="5" t="inlineStr">
        <is>
          <t>ENQ4</t>
        </is>
      </c>
      <c r="B462" s="6" t="inlineStr">
        <is>
          <t>fator_r: Fator R (folha 12 meses / RBT12)</t>
        </is>
      </c>
      <c r="C462" s="6" t="inlineStr">
        <is>
          <t>R$ 672.000,00 (salários + pró-labore + FGTS 8%) / R$ 2.400.000,00 = 28,00% -&gt; Anexo III</t>
        </is>
      </c>
      <c r="D462" s="7" t="n">
        <v>0.28</v>
      </c>
      <c r="E462" s="6" t="inlineStr">
        <is>
          <t>LC 123/2006, art. 18, §5º-J, §5º-M e §24</t>
        </is>
      </c>
    </row>
    <row r="463">
      <c r="A463" s="5" t="inlineStr">
        <is>
          <t>ENQ4</t>
        </is>
      </c>
      <c r="B463" s="6" t="inlineStr">
        <is>
          <t>fator_r: Alíquota efetiva - Anexo III, 5ª faixa</t>
        </is>
      </c>
      <c r="C463" s="6" t="inlineStr">
        <is>
          <t>(R$ 2.400.000,00 x 21,00% - R$ 125.640,00) / R$ 2.400.000,00 = 15,7650%</t>
        </is>
      </c>
      <c r="D463" s="7" t="n">
        <v>0.15765</v>
      </c>
      <c r="E463" s="6" t="inlineStr">
        <is>
          <t>LC 123/2006, art. 18, §1º e §1º-A</t>
        </is>
      </c>
    </row>
    <row r="464">
      <c r="A464" s="5" t="inlineStr">
        <is>
          <t>ENQ4</t>
        </is>
      </c>
      <c r="B464" s="6" t="inlineStr">
        <is>
          <t>fator_r: DAS anual</t>
        </is>
      </c>
      <c r="C464" s="6" t="inlineStr">
        <is>
          <t>R$ 2.400.000,00 x 15,7650%</t>
        </is>
      </c>
      <c r="D464" s="7" t="n">
        <v>378360</v>
      </c>
      <c r="E464" s="6" t="inlineStr">
        <is>
          <t>LC 123/2006, art. 13</t>
        </is>
      </c>
    </row>
    <row r="465">
      <c r="A465" s="5" t="inlineStr">
        <is>
          <t>ENQ4</t>
        </is>
      </c>
      <c r="B465" s="6" t="inlineStr">
        <is>
          <t>anexo_iii_25: Fator R (folha 12 meses / RBT12)</t>
        </is>
      </c>
      <c r="C465" s="6" t="inlineStr">
        <is>
          <t>R$ 444.000,00 (salários + pró-labore + FGTS 8%) / R$ 2.400.000,00 = 18,50% -&gt; Anexo V</t>
        </is>
      </c>
      <c r="D465" s="7" t="n">
        <v>0.185</v>
      </c>
      <c r="E465" s="6" t="inlineStr">
        <is>
          <t>LC 123/2006, art. 18, §5º-J, §5º-M e §24</t>
        </is>
      </c>
    </row>
    <row r="466">
      <c r="A466" s="5" t="inlineStr">
        <is>
          <t>ENQ4</t>
        </is>
      </c>
      <c r="B466" s="6" t="inlineStr">
        <is>
          <t>anexo_iii_25: Alíquota efetiva - Anexo V, 5ª faixa</t>
        </is>
      </c>
      <c r="C466" s="6" t="inlineStr">
        <is>
          <t>(R$ 2.400.000,00 x 23,00% - R$ 62.100,00) / R$ 2.400.000,00 = 20,4125%</t>
        </is>
      </c>
      <c r="D466" s="7" t="n">
        <v>0.204125</v>
      </c>
      <c r="E466" s="6" t="inlineStr">
        <is>
          <t>LC 123/2006, art. 18, §1º e §1º-A</t>
        </is>
      </c>
    </row>
    <row r="467">
      <c r="A467" s="5" t="inlineStr">
        <is>
          <t>ENQ4</t>
        </is>
      </c>
      <c r="B467" s="6" t="inlineStr">
        <is>
          <t>anexo_iii_25: DAS (Anexo V, R$ 1.800.000,00)</t>
        </is>
      </c>
      <c r="C467" s="6" t="inlineStr">
        <is>
          <t>R$ 1.800.000,00 x 20,4125%</t>
        </is>
      </c>
      <c r="D467" s="7" t="n">
        <v>367425</v>
      </c>
      <c r="E467" s="6" t="inlineStr">
        <is>
          <t>LC 123/2006, art. 13</t>
        </is>
      </c>
    </row>
    <row r="468">
      <c r="A468" s="5" t="inlineStr">
        <is>
          <t>ENQ4</t>
        </is>
      </c>
      <c r="B468" s="6" t="inlineStr">
        <is>
          <t>anexo_iii_25: Alíquota efetiva - Anexo III, 5ª faixa</t>
        </is>
      </c>
      <c r="C468" s="6" t="inlineStr">
        <is>
          <t>(R$ 2.400.000,00 x 21,00% - R$ 125.640,00) / R$ 2.400.000,00 = 15,7650%</t>
        </is>
      </c>
      <c r="D468" s="7" t="n">
        <v>0.15765</v>
      </c>
      <c r="E468" s="6" t="inlineStr">
        <is>
          <t>LC 123/2006, art. 18, §1º e §1º-A</t>
        </is>
      </c>
    </row>
    <row r="469">
      <c r="A469" s="5" t="inlineStr">
        <is>
          <t>ENQ4</t>
        </is>
      </c>
      <c r="B469" s="6" t="inlineStr">
        <is>
          <t>anexo_iii_25: DAS (Anexo III, R$ 600.000,00)</t>
        </is>
      </c>
      <c r="C469" s="6" t="inlineStr">
        <is>
          <t>R$ 600.000,00 x 15,7650%</t>
        </is>
      </c>
      <c r="D469" s="7" t="n">
        <v>94590</v>
      </c>
      <c r="E469" s="6" t="inlineStr">
        <is>
          <t>LC 123/2006, art. 13</t>
        </is>
      </c>
    </row>
    <row r="470">
      <c r="A470" s="5" t="inlineStr">
        <is>
          <t>ENQ4</t>
        </is>
      </c>
      <c r="B470" s="6" t="inlineStr">
        <is>
          <t>anexo_iii_25: DAS anual</t>
        </is>
      </c>
      <c r="C470" s="6" t="inlineStr">
        <is>
          <t>R$ 367.425,00 + R$ 94.590,00</t>
        </is>
      </c>
      <c r="D470" s="7" t="n">
        <v>462015</v>
      </c>
      <c r="E470" s="6" t="inlineStr">
        <is>
          <t>LC 123/2006, art. 13 e art. 18, §§ 1º e 4º</t>
        </is>
      </c>
    </row>
    <row r="471">
      <c r="A471" s="5" t="inlineStr">
        <is>
          <t>ENQ4</t>
        </is>
      </c>
      <c r="B471" s="6" t="inlineStr">
        <is>
          <t>anexo_iii_50: Fator R (folha 12 meses / RBT12)</t>
        </is>
      </c>
      <c r="C471" s="6" t="inlineStr">
        <is>
          <t>R$ 444.000,00 (salários + pró-labore + FGTS 8%) / R$ 2.400.000,00 = 18,50% -&gt; Anexo V</t>
        </is>
      </c>
      <c r="D471" s="7" t="n">
        <v>0.185</v>
      </c>
      <c r="E471" s="6" t="inlineStr">
        <is>
          <t>LC 123/2006, art. 18, §5º-J, §5º-M e §24</t>
        </is>
      </c>
    </row>
    <row r="472">
      <c r="A472" s="5" t="inlineStr">
        <is>
          <t>ENQ4</t>
        </is>
      </c>
      <c r="B472" s="6" t="inlineStr">
        <is>
          <t>anexo_iii_50: Alíquota efetiva - Anexo V, 5ª faixa</t>
        </is>
      </c>
      <c r="C472" s="6" t="inlineStr">
        <is>
          <t>(R$ 2.400.000,00 x 23,00% - R$ 62.100,00) / R$ 2.400.000,00 = 20,4125%</t>
        </is>
      </c>
      <c r="D472" s="7" t="n">
        <v>0.204125</v>
      </c>
      <c r="E472" s="6" t="inlineStr">
        <is>
          <t>LC 123/2006, art. 18, §1º e §1º-A</t>
        </is>
      </c>
    </row>
    <row r="473">
      <c r="A473" s="5" t="inlineStr">
        <is>
          <t>ENQ4</t>
        </is>
      </c>
      <c r="B473" s="6" t="inlineStr">
        <is>
          <t>anexo_iii_50: DAS (Anexo V, R$ 1.200.000,00)</t>
        </is>
      </c>
      <c r="C473" s="6" t="inlineStr">
        <is>
          <t>R$ 1.200.000,00 x 20,4125%</t>
        </is>
      </c>
      <c r="D473" s="7" t="n">
        <v>244950</v>
      </c>
      <c r="E473" s="6" t="inlineStr">
        <is>
          <t>LC 123/2006, art. 13</t>
        </is>
      </c>
    </row>
    <row r="474">
      <c r="A474" s="5" t="inlineStr">
        <is>
          <t>ENQ4</t>
        </is>
      </c>
      <c r="B474" s="6" t="inlineStr">
        <is>
          <t>anexo_iii_50: Alíquota efetiva - Anexo III, 5ª faixa</t>
        </is>
      </c>
      <c r="C474" s="6" t="inlineStr">
        <is>
          <t>(R$ 2.400.000,00 x 21,00% - R$ 125.640,00) / R$ 2.400.000,00 = 15,7650%</t>
        </is>
      </c>
      <c r="D474" s="7" t="n">
        <v>0.15765</v>
      </c>
      <c r="E474" s="6" t="inlineStr">
        <is>
          <t>LC 123/2006, art. 18, §1º e §1º-A</t>
        </is>
      </c>
    </row>
    <row r="475">
      <c r="A475" s="5" t="inlineStr">
        <is>
          <t>ENQ4</t>
        </is>
      </c>
      <c r="B475" s="6" t="inlineStr">
        <is>
          <t>anexo_iii_50: DAS (Anexo III, R$ 1.200.000,00)</t>
        </is>
      </c>
      <c r="C475" s="6" t="inlineStr">
        <is>
          <t>R$ 1.200.000,00 x 15,7650%</t>
        </is>
      </c>
      <c r="D475" s="7" t="n">
        <v>189180</v>
      </c>
      <c r="E475" s="6" t="inlineStr">
        <is>
          <t>LC 123/2006, art. 13</t>
        </is>
      </c>
    </row>
    <row r="476">
      <c r="A476" s="5" t="inlineStr">
        <is>
          <t>ENQ4</t>
        </is>
      </c>
      <c r="B476" s="6" t="inlineStr">
        <is>
          <t>anexo_iii_50: DAS anual</t>
        </is>
      </c>
      <c r="C476" s="6" t="inlineStr">
        <is>
          <t>R$ 244.950,00 + R$ 189.180,00</t>
        </is>
      </c>
      <c r="D476" s="7" t="n">
        <v>434130</v>
      </c>
      <c r="E476" s="6" t="inlineStr">
        <is>
          <t>LC 123/2006, art. 13 e art. 18, §§ 1º e 4º</t>
        </is>
      </c>
    </row>
    <row r="477">
      <c r="A477" s="5" t="inlineStr">
        <is>
          <t>ENQ4</t>
        </is>
      </c>
      <c r="B477" s="6" t="inlineStr">
        <is>
          <t>anexo_iii_100: Alíquota efetiva - Anexo III, 5ª faixa</t>
        </is>
      </c>
      <c r="C477" s="6" t="inlineStr">
        <is>
          <t>(R$ 2.400.000,00 x 21,00% - R$ 125.640,00) / R$ 2.400.000,00 = 15,7650%</t>
        </is>
      </c>
      <c r="D477" s="7" t="n">
        <v>0.15765</v>
      </c>
      <c r="E477" s="6" t="inlineStr">
        <is>
          <t>LC 123/2006, art. 18, §1º e §1º-A</t>
        </is>
      </c>
    </row>
    <row r="478">
      <c r="A478" s="5" t="inlineStr">
        <is>
          <t>ENQ4</t>
        </is>
      </c>
      <c r="B478" s="6" t="inlineStr">
        <is>
          <t>anexo_iii_100: DAS anual</t>
        </is>
      </c>
      <c r="C478" s="6" t="inlineStr">
        <is>
          <t>R$ 2.400.000,00 x 15,7650%</t>
        </is>
      </c>
      <c r="D478" s="7" t="n">
        <v>378360</v>
      </c>
      <c r="E478" s="6" t="inlineStr">
        <is>
          <t>LC 123/2006, art. 13</t>
        </is>
      </c>
    </row>
    <row r="479">
      <c r="A479" s="5" t="inlineStr">
        <is>
          <t>ENQ5</t>
        </is>
      </c>
      <c r="B479" s="6" t="inlineStr">
        <is>
          <t>atual: Fator R (folha 12 meses / RBT12)</t>
        </is>
      </c>
      <c r="C479" s="6" t="inlineStr">
        <is>
          <t>R$ 179.200,00 (salários + pró-labore + FGTS 8%) / R$ 600.000,00 = 29,87% -&gt; Anexo III</t>
        </is>
      </c>
      <c r="D479" s="7" t="n">
        <v>0.2986666666666667</v>
      </c>
      <c r="E479" s="6" t="inlineStr">
        <is>
          <t>LC 123/2006, art. 18, §5º-J, §5º-M e §24</t>
        </is>
      </c>
    </row>
    <row r="480">
      <c r="A480" s="5" t="inlineStr">
        <is>
          <t>ENQ5</t>
        </is>
      </c>
      <c r="B480" s="6" t="inlineStr">
        <is>
          <t>atual: Alíquota efetiva - Anexo III, 3ª faixa</t>
        </is>
      </c>
      <c r="C480" s="6" t="inlineStr">
        <is>
          <t>(R$ 600.000,00 x 13,50% - R$ 17.640,00) / R$ 600.000,00 = 10,5600%</t>
        </is>
      </c>
      <c r="D480" s="7" t="n">
        <v>0.1056</v>
      </c>
      <c r="E480" s="6" t="inlineStr">
        <is>
          <t>LC 123/2006, art. 18, §1º e §1º-A</t>
        </is>
      </c>
    </row>
    <row r="481">
      <c r="A481" s="5" t="inlineStr">
        <is>
          <t>ENQ5</t>
        </is>
      </c>
      <c r="B481" s="6" t="inlineStr">
        <is>
          <t>atual: DAS anual</t>
        </is>
      </c>
      <c r="C481" s="6" t="inlineStr">
        <is>
          <t>R$ 600.000,00 x 10,5600%</t>
        </is>
      </c>
      <c r="D481" s="7" t="n">
        <v>63360</v>
      </c>
      <c r="E481" s="6" t="inlineStr">
        <is>
          <t>LC 123/2006, art. 13</t>
        </is>
      </c>
    </row>
    <row r="482">
      <c r="A482" s="5" t="inlineStr">
        <is>
          <t>ENQ6</t>
        </is>
      </c>
      <c r="B482" s="6" t="inlineStr">
        <is>
          <t>atual: Fator R (folha 12 meses / RBT12)</t>
        </is>
      </c>
      <c r="C482" s="6" t="inlineStr">
        <is>
          <t>R$ 100.000,00 (informada) / R$ 600.000,00 = 16,67% -&gt; Anexo V</t>
        </is>
      </c>
      <c r="D482" s="7" t="n">
        <v>0.1666666666666667</v>
      </c>
      <c r="E482" s="6" t="inlineStr">
        <is>
          <t>LC 123/2006, art. 18, §5º-J, §5º-M e §24</t>
        </is>
      </c>
    </row>
    <row r="483">
      <c r="A483" s="5" t="inlineStr">
        <is>
          <t>ENQ6</t>
        </is>
      </c>
      <c r="B483" s="6" t="inlineStr">
        <is>
          <t>atual: Alíquota efetiva - Anexo V, 3ª faixa</t>
        </is>
      </c>
      <c r="C483" s="6" t="inlineStr">
        <is>
          <t>(R$ 600.000,00 x 19,50% - R$ 9.900,00) / R$ 600.000,00 = 17,8500%</t>
        </is>
      </c>
      <c r="D483" s="7" t="n">
        <v>0.1785</v>
      </c>
      <c r="E483" s="6" t="inlineStr">
        <is>
          <t>LC 123/2006, art. 18, §1º e §1º-A</t>
        </is>
      </c>
    </row>
    <row r="484">
      <c r="A484" s="5" t="inlineStr">
        <is>
          <t>ENQ6</t>
        </is>
      </c>
      <c r="B484" s="6" t="inlineStr">
        <is>
          <t>atual: DAS anual</t>
        </is>
      </c>
      <c r="C484" s="6" t="inlineStr">
        <is>
          <t>R$ 600.000,00 x 17,8500%</t>
        </is>
      </c>
      <c r="D484" s="7" t="n">
        <v>107100</v>
      </c>
      <c r="E484" s="6" t="inlineStr">
        <is>
          <t>LC 123/2006, art. 13</t>
        </is>
      </c>
    </row>
    <row r="485">
      <c r="A485" s="5" t="inlineStr">
        <is>
          <t>ENQ6</t>
        </is>
      </c>
      <c r="B485" s="6" t="inlineStr">
        <is>
          <t>fator_r: Fator R (folha 12 meses / RBT12)</t>
        </is>
      </c>
      <c r="C485" s="6" t="inlineStr">
        <is>
          <t>R$ 168.000,00 (informada) / R$ 600.000,00 = 28,00% -&gt; Anexo III</t>
        </is>
      </c>
      <c r="D485" s="7" t="n">
        <v>0.28</v>
      </c>
      <c r="E485" s="6" t="inlineStr">
        <is>
          <t>LC 123/2006, art. 18, §5º-J, §5º-M e §24</t>
        </is>
      </c>
    </row>
    <row r="486">
      <c r="A486" s="5" t="inlineStr">
        <is>
          <t>ENQ6</t>
        </is>
      </c>
      <c r="B486" s="6" t="inlineStr">
        <is>
          <t>fator_r: Alíquota efetiva - Anexo III, 3ª faixa</t>
        </is>
      </c>
      <c r="C486" s="6" t="inlineStr">
        <is>
          <t>(R$ 600.000,00 x 13,50% - R$ 17.640,00) / R$ 600.000,00 = 10,5600%</t>
        </is>
      </c>
      <c r="D486" s="7" t="n">
        <v>0.1056</v>
      </c>
      <c r="E486" s="6" t="inlineStr">
        <is>
          <t>LC 123/2006, art. 18, §1º e §1º-A</t>
        </is>
      </c>
    </row>
    <row r="487">
      <c r="A487" s="5" t="inlineStr">
        <is>
          <t>ENQ6</t>
        </is>
      </c>
      <c r="B487" s="6" t="inlineStr">
        <is>
          <t>fator_r: DAS anual</t>
        </is>
      </c>
      <c r="C487" s="6" t="inlineStr">
        <is>
          <t>R$ 600.000,00 x 10,5600%</t>
        </is>
      </c>
      <c r="D487" s="7" t="n">
        <v>63360</v>
      </c>
      <c r="E487" s="6" t="inlineStr">
        <is>
          <t>LC 123/2006, art. 13</t>
        </is>
      </c>
    </row>
    <row r="488">
      <c r="A488" s="5" t="inlineStr">
        <is>
          <t>ENQ6</t>
        </is>
      </c>
      <c r="B488" s="6" t="inlineStr">
        <is>
          <t>anexo_iii_25: Fator R (folha 12 meses / RBT12)</t>
        </is>
      </c>
      <c r="C488" s="6" t="inlineStr">
        <is>
          <t>R$ 100.000,00 (informada) / R$ 600.000,00 = 16,67% -&gt; Anexo V</t>
        </is>
      </c>
      <c r="D488" s="7" t="n">
        <v>0.1666666666666667</v>
      </c>
      <c r="E488" s="6" t="inlineStr">
        <is>
          <t>LC 123/2006, art. 18, §5º-J, §5º-M e §24</t>
        </is>
      </c>
    </row>
    <row r="489">
      <c r="A489" s="5" t="inlineStr">
        <is>
          <t>ENQ6</t>
        </is>
      </c>
      <c r="B489" s="6" t="inlineStr">
        <is>
          <t>anexo_iii_25: Alíquota efetiva - Anexo V, 3ª faixa</t>
        </is>
      </c>
      <c r="C489" s="6" t="inlineStr">
        <is>
          <t>(R$ 600.000,00 x 19,50% - R$ 9.900,00) / R$ 600.000,00 = 17,8500%</t>
        </is>
      </c>
      <c r="D489" s="7" t="n">
        <v>0.1785</v>
      </c>
      <c r="E489" s="6" t="inlineStr">
        <is>
          <t>LC 123/2006, art. 18, §1º e §1º-A</t>
        </is>
      </c>
    </row>
    <row r="490">
      <c r="A490" s="5" t="inlineStr">
        <is>
          <t>ENQ6</t>
        </is>
      </c>
      <c r="B490" s="6" t="inlineStr">
        <is>
          <t>anexo_iii_25: DAS (Anexo V, R$ 450.000,00)</t>
        </is>
      </c>
      <c r="C490" s="6" t="inlineStr">
        <is>
          <t>R$ 450.000,00 x 17,8500%</t>
        </is>
      </c>
      <c r="D490" s="7" t="n">
        <v>80325</v>
      </c>
      <c r="E490" s="6" t="inlineStr">
        <is>
          <t>LC 123/2006, art. 13</t>
        </is>
      </c>
    </row>
    <row r="491">
      <c r="A491" s="5" t="inlineStr">
        <is>
          <t>ENQ6</t>
        </is>
      </c>
      <c r="B491" s="6" t="inlineStr">
        <is>
          <t>anexo_iii_25: Alíquota efetiva - Anexo III, 3ª faixa</t>
        </is>
      </c>
      <c r="C491" s="6" t="inlineStr">
        <is>
          <t>(R$ 600.000,00 x 13,50% - R$ 17.640,00) / R$ 600.000,00 = 10,5600%</t>
        </is>
      </c>
      <c r="D491" s="7" t="n">
        <v>0.1056</v>
      </c>
      <c r="E491" s="6" t="inlineStr">
        <is>
          <t>LC 123/2006, art. 18, §1º e §1º-A</t>
        </is>
      </c>
    </row>
    <row r="492">
      <c r="A492" s="5" t="inlineStr">
        <is>
          <t>ENQ6</t>
        </is>
      </c>
      <c r="B492" s="6" t="inlineStr">
        <is>
          <t>anexo_iii_25: DAS (Anexo III, R$ 150.000,00)</t>
        </is>
      </c>
      <c r="C492" s="6" t="inlineStr">
        <is>
          <t>R$ 150.000,00 x 10,5600%</t>
        </is>
      </c>
      <c r="D492" s="7" t="n">
        <v>15840</v>
      </c>
      <c r="E492" s="6" t="inlineStr">
        <is>
          <t>LC 123/2006, art. 13</t>
        </is>
      </c>
    </row>
    <row r="493">
      <c r="A493" s="5" t="inlineStr">
        <is>
          <t>ENQ6</t>
        </is>
      </c>
      <c r="B493" s="6" t="inlineStr">
        <is>
          <t>anexo_iii_25: DAS anual</t>
        </is>
      </c>
      <c r="C493" s="6" t="inlineStr">
        <is>
          <t>R$ 80.325,00 + R$ 15.840,00</t>
        </is>
      </c>
      <c r="D493" s="7" t="n">
        <v>96165</v>
      </c>
      <c r="E493" s="6" t="inlineStr">
        <is>
          <t>LC 123/2006, art. 13 e art. 18, §§ 1º e 4º</t>
        </is>
      </c>
    </row>
    <row r="494">
      <c r="A494" s="5" t="inlineStr">
        <is>
          <t>ENQ6</t>
        </is>
      </c>
      <c r="B494" s="6" t="inlineStr">
        <is>
          <t>anexo_iii_50: Fator R (folha 12 meses / RBT12)</t>
        </is>
      </c>
      <c r="C494" s="6" t="inlineStr">
        <is>
          <t>R$ 100.000,00 (informada) / R$ 600.000,00 = 16,67% -&gt; Anexo V</t>
        </is>
      </c>
      <c r="D494" s="7" t="n">
        <v>0.1666666666666667</v>
      </c>
      <c r="E494" s="6" t="inlineStr">
        <is>
          <t>LC 123/2006, art. 18, §5º-J, §5º-M e §24</t>
        </is>
      </c>
    </row>
    <row r="495">
      <c r="A495" s="5" t="inlineStr">
        <is>
          <t>ENQ6</t>
        </is>
      </c>
      <c r="B495" s="6" t="inlineStr">
        <is>
          <t>anexo_iii_50: Alíquota efetiva - Anexo V, 3ª faixa</t>
        </is>
      </c>
      <c r="C495" s="6" t="inlineStr">
        <is>
          <t>(R$ 600.000,00 x 19,50% - R$ 9.900,00) / R$ 600.000,00 = 17,8500%</t>
        </is>
      </c>
      <c r="D495" s="7" t="n">
        <v>0.1785</v>
      </c>
      <c r="E495" s="6" t="inlineStr">
        <is>
          <t>LC 123/2006, art. 18, §1º e §1º-A</t>
        </is>
      </c>
    </row>
    <row r="496">
      <c r="A496" s="5" t="inlineStr">
        <is>
          <t>ENQ6</t>
        </is>
      </c>
      <c r="B496" s="6" t="inlineStr">
        <is>
          <t>anexo_iii_50: DAS (Anexo V, R$ 300.000,00)</t>
        </is>
      </c>
      <c r="C496" s="6" t="inlineStr">
        <is>
          <t>R$ 300.000,00 x 17,8500%</t>
        </is>
      </c>
      <c r="D496" s="7" t="n">
        <v>53550</v>
      </c>
      <c r="E496" s="6" t="inlineStr">
        <is>
          <t>LC 123/2006, art. 13</t>
        </is>
      </c>
    </row>
    <row r="497">
      <c r="A497" s="5" t="inlineStr">
        <is>
          <t>ENQ6</t>
        </is>
      </c>
      <c r="B497" s="6" t="inlineStr">
        <is>
          <t>anexo_iii_50: Alíquota efetiva - Anexo III, 3ª faixa</t>
        </is>
      </c>
      <c r="C497" s="6" t="inlineStr">
        <is>
          <t>(R$ 600.000,00 x 13,50% - R$ 17.640,00) / R$ 600.000,00 = 10,5600%</t>
        </is>
      </c>
      <c r="D497" s="7" t="n">
        <v>0.1056</v>
      </c>
      <c r="E497" s="6" t="inlineStr">
        <is>
          <t>LC 123/2006, art. 18, §1º e §1º-A</t>
        </is>
      </c>
    </row>
    <row r="498">
      <c r="A498" s="5" t="inlineStr">
        <is>
          <t>ENQ6</t>
        </is>
      </c>
      <c r="B498" s="6" t="inlineStr">
        <is>
          <t>anexo_iii_50: DAS (Anexo III, R$ 300.000,00)</t>
        </is>
      </c>
      <c r="C498" s="6" t="inlineStr">
        <is>
          <t>R$ 300.000,00 x 10,5600%</t>
        </is>
      </c>
      <c r="D498" s="7" t="n">
        <v>31680</v>
      </c>
      <c r="E498" s="6" t="inlineStr">
        <is>
          <t>LC 123/2006, art. 13</t>
        </is>
      </c>
    </row>
    <row r="499">
      <c r="A499" s="5" t="inlineStr">
        <is>
          <t>ENQ6</t>
        </is>
      </c>
      <c r="B499" s="6" t="inlineStr">
        <is>
          <t>anexo_iii_50: DAS anual</t>
        </is>
      </c>
      <c r="C499" s="6" t="inlineStr">
        <is>
          <t>R$ 53.550,00 + R$ 31.680,00</t>
        </is>
      </c>
      <c r="D499" s="7" t="n">
        <v>85230</v>
      </c>
      <c r="E499" s="6" t="inlineStr">
        <is>
          <t>LC 123/2006, art. 13 e art. 18, §§ 1º e 4º</t>
        </is>
      </c>
    </row>
    <row r="500">
      <c r="A500" s="5" t="inlineStr">
        <is>
          <t>ENQ6</t>
        </is>
      </c>
      <c r="B500" s="6" t="inlineStr">
        <is>
          <t>anexo_iii_100: Alíquota efetiva - Anexo III, 3ª faixa</t>
        </is>
      </c>
      <c r="C500" s="6" t="inlineStr">
        <is>
          <t>(R$ 600.000,00 x 13,50% - R$ 17.640,00) / R$ 600.000,00 = 10,5600%</t>
        </is>
      </c>
      <c r="D500" s="7" t="n">
        <v>0.1056</v>
      </c>
      <c r="E500" s="6" t="inlineStr">
        <is>
          <t>LC 123/2006, art. 18, §1º e §1º-A</t>
        </is>
      </c>
    </row>
    <row r="501">
      <c r="A501" s="5" t="inlineStr">
        <is>
          <t>ENQ6</t>
        </is>
      </c>
      <c r="B501" s="6" t="inlineStr">
        <is>
          <t>anexo_iii_100: DAS anual</t>
        </is>
      </c>
      <c r="C501" s="6" t="inlineStr">
        <is>
          <t>R$ 600.000,00 x 10,5600%</t>
        </is>
      </c>
      <c r="D501" s="7" t="n">
        <v>63360</v>
      </c>
      <c r="E501" s="6" t="inlineStr">
        <is>
          <t>LC 123/2006, art. 13</t>
        </is>
      </c>
    </row>
    <row r="502">
      <c r="A502" s="5" t="inlineStr">
        <is>
          <t>ADV1-SN</t>
        </is>
      </c>
      <c r="B502" s="6" t="inlineStr">
        <is>
          <t>Alíquota efetiva - Anexo IV, 3ª faixa</t>
        </is>
      </c>
      <c r="C502" s="6" t="inlineStr">
        <is>
          <t>(R$ 600.000,00 x 10,20% - R$ 12.420,00) / R$ 600.000,00 = 8,1300%</t>
        </is>
      </c>
      <c r="D502" s="19" t="n">
        <v>0.0813</v>
      </c>
      <c r="E502" s="6" t="inlineStr">
        <is>
          <t>LC 123/2006, art. 18, §1º e §1º-A</t>
        </is>
      </c>
    </row>
    <row r="503">
      <c r="A503" s="5" t="inlineStr">
        <is>
          <t>ADV1-SN</t>
        </is>
      </c>
      <c r="B503" s="6" t="inlineStr">
        <is>
          <t>DAS anual</t>
        </is>
      </c>
      <c r="C503" s="6" t="inlineStr">
        <is>
          <t>R$ 600.000,00 x 8,1300%</t>
        </is>
      </c>
      <c r="D503" s="7" t="n">
        <v>48780</v>
      </c>
      <c r="E503" s="6" t="inlineStr">
        <is>
          <t>LC 123/2006, art. 13</t>
        </is>
      </c>
    </row>
    <row r="504">
      <c r="A504" s="5" t="inlineStr">
        <is>
          <t>ADV1-SN</t>
        </is>
      </c>
      <c r="B504" s="6" t="inlineStr">
        <is>
          <t>CPP fora do DAS (Anexo IV)</t>
        </is>
      </c>
      <c r="C504" s="6" t="inlineStr">
        <is>
          <t>R$ 0,00 x (20,00% + 2,00% RAT) + R$ 36.000,00 x 20,00%</t>
        </is>
      </c>
      <c r="D504" s="7" t="n">
        <v>7200</v>
      </c>
      <c r="E504" s="6" t="inlineStr">
        <is>
          <t>LC 123/2006, art. 18, §5º-C e art. 13, VI</t>
        </is>
      </c>
    </row>
    <row r="505">
      <c r="A505" s="5" t="inlineStr">
        <is>
          <t>ADV1-LP</t>
        </is>
      </c>
      <c r="B505" s="6" t="inlineStr">
        <is>
          <t>Percentuais de presunção</t>
        </is>
      </c>
      <c r="C505" s="6" t="inlineStr">
        <is>
          <t>Prestação de serviços em geral: IRPJ 32,0%, CSLL 32,0%</t>
        </is>
      </c>
      <c r="D505" s="19" t="n">
        <v>0.32</v>
      </c>
      <c r="E505" s="6" t="inlineStr">
        <is>
          <t>Lei 9.249/1995, art. 15, §1º e art. 20</t>
        </is>
      </c>
    </row>
    <row r="506">
      <c r="A506" s="5" t="inlineStr">
        <is>
          <t>ADV1-LP</t>
        </is>
      </c>
      <c r="B506" s="6" t="inlineStr">
        <is>
          <t>1º tri - base presumida IRPJ</t>
        </is>
      </c>
      <c r="C506" s="6" t="inlineStr">
        <is>
          <t>R$ 150.000,00 x 32,0%</t>
        </is>
      </c>
      <c r="D506" s="7" t="n">
        <v>48000</v>
      </c>
      <c r="E506" s="6" t="inlineStr">
        <is>
          <t>Lei 9.249/1995, arts. 15 e 20</t>
        </is>
      </c>
    </row>
    <row r="507">
      <c r="A507" s="5" t="inlineStr">
        <is>
          <t>ADV1-LP</t>
        </is>
      </c>
      <c r="B507" s="6" t="inlineStr">
        <is>
          <t>1º tri - IRPJ</t>
        </is>
      </c>
      <c r="C507" s="6" t="inlineStr">
        <is>
          <t>R$ 48.000,00 x 15% + adicional 10% sobre o que exceder R$ 60.000,00</t>
        </is>
      </c>
      <c r="D507" s="7" t="n">
        <v>7200</v>
      </c>
      <c r="E507" s="6" t="inlineStr">
        <is>
          <t>Lei 9.430/1996, arts. 3º e 4º</t>
        </is>
      </c>
    </row>
    <row r="508">
      <c r="A508" s="5" t="inlineStr">
        <is>
          <t>ADV1-LP</t>
        </is>
      </c>
      <c r="B508" s="6" t="inlineStr">
        <is>
          <t>1º tri - base presumida CSLL</t>
        </is>
      </c>
      <c r="C508" s="6" t="inlineStr">
        <is>
          <t>R$ 150.000,00 x 32,0%</t>
        </is>
      </c>
      <c r="D508" s="7" t="n">
        <v>48000</v>
      </c>
      <c r="E508" s="6" t="inlineStr">
        <is>
          <t>Lei 9.249/1995, arts. 15 e 20</t>
        </is>
      </c>
    </row>
    <row r="509">
      <c r="A509" s="5" t="inlineStr">
        <is>
          <t>ADV1-LP</t>
        </is>
      </c>
      <c r="B509" s="6" t="inlineStr">
        <is>
          <t>1º tri - CSLL</t>
        </is>
      </c>
      <c r="C509" s="6" t="inlineStr">
        <is>
          <t>R$ 48.000,00 x 9%</t>
        </is>
      </c>
      <c r="D509" s="7" t="n">
        <v>4320</v>
      </c>
      <c r="E509" s="6" t="inlineStr">
        <is>
          <t>Lei 7.689/1988, art. 3º</t>
        </is>
      </c>
    </row>
    <row r="510">
      <c r="A510" s="5" t="inlineStr">
        <is>
          <t>ADV1-LP</t>
        </is>
      </c>
      <c r="B510" s="6" t="inlineStr">
        <is>
          <t>2º tri - base presumida IRPJ</t>
        </is>
      </c>
      <c r="C510" s="6" t="inlineStr">
        <is>
          <t>R$ 150.000,00 x 32,0%</t>
        </is>
      </c>
      <c r="D510" s="7" t="n">
        <v>48000</v>
      </c>
      <c r="E510" s="6" t="inlineStr">
        <is>
          <t>Lei 9.249/1995, arts. 15 e 20</t>
        </is>
      </c>
    </row>
    <row r="511">
      <c r="A511" s="5" t="inlineStr">
        <is>
          <t>ADV1-LP</t>
        </is>
      </c>
      <c r="B511" s="6" t="inlineStr">
        <is>
          <t>2º tri - IRPJ</t>
        </is>
      </c>
      <c r="C511" s="6" t="inlineStr">
        <is>
          <t>R$ 48.000,00 x 15% + adicional 10% sobre o que exceder R$ 60.000,00</t>
        </is>
      </c>
      <c r="D511" s="7" t="n">
        <v>7200</v>
      </c>
      <c r="E511" s="6" t="inlineStr">
        <is>
          <t>Lei 9.430/1996, arts. 3º e 4º</t>
        </is>
      </c>
    </row>
    <row r="512">
      <c r="A512" s="5" t="inlineStr">
        <is>
          <t>ADV1-LP</t>
        </is>
      </c>
      <c r="B512" s="6" t="inlineStr">
        <is>
          <t>2º tri - base presumida CSLL</t>
        </is>
      </c>
      <c r="C512" s="6" t="inlineStr">
        <is>
          <t>R$ 150.000,00 x 32,0%</t>
        </is>
      </c>
      <c r="D512" s="7" t="n">
        <v>48000</v>
      </c>
      <c r="E512" s="6" t="inlineStr">
        <is>
          <t>Lei 9.249/1995, arts. 15 e 20</t>
        </is>
      </c>
    </row>
    <row r="513">
      <c r="A513" s="5" t="inlineStr">
        <is>
          <t>ADV1-LP</t>
        </is>
      </c>
      <c r="B513" s="6" t="inlineStr">
        <is>
          <t>2º tri - CSLL</t>
        </is>
      </c>
      <c r="C513" s="6" t="inlineStr">
        <is>
          <t>R$ 48.000,00 x 9%</t>
        </is>
      </c>
      <c r="D513" s="7" t="n">
        <v>4320</v>
      </c>
      <c r="E513" s="6" t="inlineStr">
        <is>
          <t>Lei 7.689/1988, art. 3º</t>
        </is>
      </c>
    </row>
    <row r="514">
      <c r="A514" s="5" t="inlineStr">
        <is>
          <t>ADV1-LP</t>
        </is>
      </c>
      <c r="B514" s="6" t="inlineStr">
        <is>
          <t>3º tri - base presumida IRPJ</t>
        </is>
      </c>
      <c r="C514" s="6" t="inlineStr">
        <is>
          <t>R$ 150.000,00 x 32,0%</t>
        </is>
      </c>
      <c r="D514" s="7" t="n">
        <v>48000</v>
      </c>
      <c r="E514" s="6" t="inlineStr">
        <is>
          <t>Lei 9.249/1995, arts. 15 e 20</t>
        </is>
      </c>
    </row>
    <row r="515">
      <c r="A515" s="5" t="inlineStr">
        <is>
          <t>ADV1-LP</t>
        </is>
      </c>
      <c r="B515" s="6" t="inlineStr">
        <is>
          <t>3º tri - IRPJ</t>
        </is>
      </c>
      <c r="C515" s="6" t="inlineStr">
        <is>
          <t>R$ 48.000,00 x 15% + adicional 10% sobre o que exceder R$ 60.000,00</t>
        </is>
      </c>
      <c r="D515" s="7" t="n">
        <v>7200</v>
      </c>
      <c r="E515" s="6" t="inlineStr">
        <is>
          <t>Lei 9.430/1996, arts. 3º e 4º</t>
        </is>
      </c>
    </row>
    <row r="516">
      <c r="A516" s="5" t="inlineStr">
        <is>
          <t>ADV1-LP</t>
        </is>
      </c>
      <c r="B516" s="6" t="inlineStr">
        <is>
          <t>3º tri - base presumida CSLL</t>
        </is>
      </c>
      <c r="C516" s="6" t="inlineStr">
        <is>
          <t>R$ 150.000,00 x 32,0%</t>
        </is>
      </c>
      <c r="D516" s="7" t="n">
        <v>48000</v>
      </c>
      <c r="E516" s="6" t="inlineStr">
        <is>
          <t>Lei 9.249/1995, arts. 15 e 20</t>
        </is>
      </c>
    </row>
    <row r="517">
      <c r="A517" s="5" t="inlineStr">
        <is>
          <t>ADV1-LP</t>
        </is>
      </c>
      <c r="B517" s="6" t="inlineStr">
        <is>
          <t>3º tri - CSLL</t>
        </is>
      </c>
      <c r="C517" s="6" t="inlineStr">
        <is>
          <t>R$ 48.000,00 x 9%</t>
        </is>
      </c>
      <c r="D517" s="7" t="n">
        <v>4320</v>
      </c>
      <c r="E517" s="6" t="inlineStr">
        <is>
          <t>Lei 7.689/1988, art. 3º</t>
        </is>
      </c>
    </row>
    <row r="518">
      <c r="A518" s="5" t="inlineStr">
        <is>
          <t>ADV1-LP</t>
        </is>
      </c>
      <c r="B518" s="6" t="inlineStr">
        <is>
          <t>4º tri - base presumida IRPJ</t>
        </is>
      </c>
      <c r="C518" s="6" t="inlineStr">
        <is>
          <t>R$ 150.000,00 x 32,0%</t>
        </is>
      </c>
      <c r="D518" s="7" t="n">
        <v>48000</v>
      </c>
      <c r="E518" s="6" t="inlineStr">
        <is>
          <t>Lei 9.249/1995, arts. 15 e 20</t>
        </is>
      </c>
    </row>
    <row r="519">
      <c r="A519" s="5" t="inlineStr">
        <is>
          <t>ADV1-LP</t>
        </is>
      </c>
      <c r="B519" s="6" t="inlineStr">
        <is>
          <t>4º tri - IRPJ</t>
        </is>
      </c>
      <c r="C519" s="6" t="inlineStr">
        <is>
          <t>R$ 48.000,00 x 15% + adicional 10% sobre o que exceder R$ 60.000,00</t>
        </is>
      </c>
      <c r="D519" s="7" t="n">
        <v>7200</v>
      </c>
      <c r="E519" s="6" t="inlineStr">
        <is>
          <t>Lei 9.430/1996, arts. 3º e 4º</t>
        </is>
      </c>
    </row>
    <row r="520">
      <c r="A520" s="5" t="inlineStr">
        <is>
          <t>ADV1-LP</t>
        </is>
      </c>
      <c r="B520" s="6" t="inlineStr">
        <is>
          <t>4º tri - base presumida CSLL</t>
        </is>
      </c>
      <c r="C520" s="6" t="inlineStr">
        <is>
          <t>R$ 150.000,00 x 32,0%</t>
        </is>
      </c>
      <c r="D520" s="7" t="n">
        <v>48000</v>
      </c>
      <c r="E520" s="6" t="inlineStr">
        <is>
          <t>Lei 9.249/1995, arts. 15 e 20</t>
        </is>
      </c>
    </row>
    <row r="521">
      <c r="A521" s="5" t="inlineStr">
        <is>
          <t>ADV1-LP</t>
        </is>
      </c>
      <c r="B521" s="6" t="inlineStr">
        <is>
          <t>4º tri - CSLL</t>
        </is>
      </c>
      <c r="C521" s="6" t="inlineStr">
        <is>
          <t>R$ 48.000,00 x 9%</t>
        </is>
      </c>
      <c r="D521" s="7" t="n">
        <v>4320</v>
      </c>
      <c r="E521" s="6" t="inlineStr">
        <is>
          <t>Lei 7.689/1988, art. 3º</t>
        </is>
      </c>
    </row>
    <row r="522">
      <c r="A522" s="5" t="inlineStr">
        <is>
          <t>ADV1-LP</t>
        </is>
      </c>
      <c r="B522" s="6" t="inlineStr">
        <is>
          <t>PIS cumulativo</t>
        </is>
      </c>
      <c r="C522" s="6" t="inlineStr">
        <is>
          <t>R$ 600.000,00 x 0,65%</t>
        </is>
      </c>
      <c r="D522" s="7" t="n">
        <v>3900</v>
      </c>
      <c r="E522" s="6" t="inlineStr">
        <is>
          <t>Lei 9.715/1998</t>
        </is>
      </c>
    </row>
    <row r="523">
      <c r="A523" s="5" t="inlineStr">
        <is>
          <t>ADV1-LP</t>
        </is>
      </c>
      <c r="B523" s="6" t="inlineStr">
        <is>
          <t>Cofins cumulativa</t>
        </is>
      </c>
      <c r="C523" s="6" t="inlineStr">
        <is>
          <t>R$ 600.000,00 x 3,00%</t>
        </is>
      </c>
      <c r="D523" s="7" t="n">
        <v>18000</v>
      </c>
      <c r="E523" s="6" t="inlineStr">
        <is>
          <t>Lei 9.718/1998</t>
        </is>
      </c>
    </row>
    <row r="524">
      <c r="A524" s="5" t="inlineStr">
        <is>
          <t>ADV1-LP</t>
        </is>
      </c>
      <c r="B524" s="6" t="inlineStr">
        <is>
          <t>ISS fixo da sociedade de profissionais</t>
        </is>
      </c>
      <c r="C524" s="6" t="inlineStr">
        <is>
          <t>3 profissional(is) x R$ 1.800,00/ano</t>
        </is>
      </c>
      <c r="D524" s="7" t="n">
        <v>5400</v>
      </c>
      <c r="E524" s="6" t="inlineStr">
        <is>
          <t>Decreto-Lei 406/1968, art. 9º, §§ 1º e 3º, e lei municipal</t>
        </is>
      </c>
    </row>
    <row r="525">
      <c r="A525" s="5" t="inlineStr">
        <is>
          <t>ADV1-LP</t>
        </is>
      </c>
      <c r="B525" s="6" t="inlineStr">
        <is>
          <t>INSS patronal sobre a folha CLT</t>
        </is>
      </c>
      <c r="C525" s="6" t="inlineStr">
        <is>
          <t>R$ 0,00 x (20,00% CPP + 2,00% RAT + 5,80% terceiros)</t>
        </is>
      </c>
      <c r="D525" s="7" t="n">
        <v>0</v>
      </c>
      <c r="E525" s="6" t="inlineStr">
        <is>
          <t>Lei 8.212/1991, art. 22, I e II</t>
        </is>
      </c>
    </row>
    <row r="526">
      <c r="A526" s="5" t="inlineStr">
        <is>
          <t>ADV1-LP</t>
        </is>
      </c>
      <c r="B526" s="6" t="inlineStr">
        <is>
          <t>INSS patronal sobre o pró-labore</t>
        </is>
      </c>
      <c r="C526" s="6" t="inlineStr">
        <is>
          <t>R$ 36.000,00 x 20,00%</t>
        </is>
      </c>
      <c r="D526" s="7" t="n">
        <v>7200</v>
      </c>
      <c r="E526" s="6" t="inlineStr">
        <is>
          <t>Lei 8.212/1991, art. 22, III</t>
        </is>
      </c>
    </row>
    <row r="527">
      <c r="A527" s="5" t="inlineStr">
        <is>
          <t>ADV1-LR</t>
        </is>
      </c>
      <c r="B527" s="6" t="inlineStr">
        <is>
          <t>PIS - débito</t>
        </is>
      </c>
      <c r="C527" s="6" t="inlineStr">
        <is>
          <t>R$ 600.000,00 x 1,65%</t>
        </is>
      </c>
      <c r="D527" s="7" t="n">
        <v>9900</v>
      </c>
      <c r="E527" s="6" t="inlineStr">
        <is>
          <t>Lei 10.637/2002</t>
        </is>
      </c>
    </row>
    <row r="528">
      <c r="A528" s="5" t="inlineStr">
        <is>
          <t>ADV1-LR</t>
        </is>
      </c>
      <c r="B528" s="6" t="inlineStr">
        <is>
          <t>PIS - crédito</t>
        </is>
      </c>
      <c r="C528" s="6" t="inlineStr">
        <is>
          <t>(R$ 0,00 compras + R$ 0,00 despesas creditáveis) x 1,65%</t>
        </is>
      </c>
      <c r="D528" s="7" t="n">
        <v>0</v>
      </c>
      <c r="E528" s="6" t="inlineStr">
        <is>
          <t>Lei 10.637/2002, art. 3º</t>
        </is>
      </c>
    </row>
    <row r="529">
      <c r="A529" s="5" t="inlineStr">
        <is>
          <t>ADV1-LR</t>
        </is>
      </c>
      <c r="B529" s="6" t="inlineStr">
        <is>
          <t>Cofins - débito</t>
        </is>
      </c>
      <c r="C529" s="6" t="inlineStr">
        <is>
          <t>R$ 600.000,00 x 7,60%</t>
        </is>
      </c>
      <c r="D529" s="7" t="n">
        <v>45600</v>
      </c>
      <c r="E529" s="6" t="inlineStr">
        <is>
          <t>Lei 10.833/2003</t>
        </is>
      </c>
    </row>
    <row r="530">
      <c r="A530" s="5" t="inlineStr">
        <is>
          <t>ADV1-LR</t>
        </is>
      </c>
      <c r="B530" s="6" t="inlineStr">
        <is>
          <t>Cofins - crédito</t>
        </is>
      </c>
      <c r="C530" s="6" t="inlineStr">
        <is>
          <t>(R$ 0,00 compras + R$ 0,00 despesas creditáveis) x 7,60%</t>
        </is>
      </c>
      <c r="D530" s="7" t="n">
        <v>0</v>
      </c>
      <c r="E530" s="6" t="inlineStr">
        <is>
          <t>Lei 10.833/2003, art. 3º</t>
        </is>
      </c>
    </row>
    <row r="531">
      <c r="A531" s="5" t="inlineStr">
        <is>
          <t>ADV1-LR</t>
        </is>
      </c>
      <c r="B531" s="6" t="inlineStr">
        <is>
          <t>ISS fixo da sociedade de profissionais</t>
        </is>
      </c>
      <c r="C531" s="6" t="inlineStr">
        <is>
          <t>3 profissional(is) x R$ 1.800,00/ano</t>
        </is>
      </c>
      <c r="D531" s="7" t="n">
        <v>5400</v>
      </c>
      <c r="E531" s="6" t="inlineStr">
        <is>
          <t>Decreto-Lei 406/1968, art. 9º, §§ 1º e 3º, e lei municipal</t>
        </is>
      </c>
    </row>
    <row r="532">
      <c r="A532" s="5" t="inlineStr">
        <is>
          <t>ADV1-LR</t>
        </is>
      </c>
      <c r="B532" s="6" t="inlineStr">
        <is>
          <t>INSS patronal sobre a folha CLT</t>
        </is>
      </c>
      <c r="C532" s="6" t="inlineStr">
        <is>
          <t>R$ 0,00 x (20,00% CPP + 2,00% RAT + 5,80% terceiros)</t>
        </is>
      </c>
      <c r="D532" s="7" t="n">
        <v>0</v>
      </c>
      <c r="E532" s="6" t="inlineStr">
        <is>
          <t>Lei 8.212/1991, art. 22, I e II</t>
        </is>
      </c>
    </row>
    <row r="533">
      <c r="A533" s="5" t="inlineStr">
        <is>
          <t>ADV1-LR</t>
        </is>
      </c>
      <c r="B533" s="6" t="inlineStr">
        <is>
          <t>INSS patronal sobre o pró-labore</t>
        </is>
      </c>
      <c r="C533" s="6" t="inlineStr">
        <is>
          <t>R$ 36.000,00 x 20,00%</t>
        </is>
      </c>
      <c r="D533" s="7" t="n">
        <v>7200</v>
      </c>
      <c r="E533" s="6" t="inlineStr">
        <is>
          <t>Lei 8.212/1991, art. 22, III</t>
        </is>
      </c>
    </row>
    <row r="534">
      <c r="A534" s="5" t="inlineStr">
        <is>
          <t>ADV1-LR</t>
        </is>
      </c>
      <c r="B534" s="6" t="inlineStr">
        <is>
          <t>Lucro antes do IRPJ/CSLL</t>
        </is>
      </c>
      <c r="C534" s="6" t="inlineStr">
        <is>
          <t>R$ 600.000,00 receita - R$ 0,00 compras - R$ 60.000,00 despesas - R$ 36.000,00 folha e pró-labore - R$ 0,00 FGTS - R$ 68.100,00 tributos dedutíveis</t>
        </is>
      </c>
      <c r="D534" s="7" t="n">
        <v>435900</v>
      </c>
      <c r="E534" s="6" t="inlineStr">
        <is>
          <t>Lei 6.404/1976 (DRE)</t>
        </is>
      </c>
    </row>
    <row r="535">
      <c r="A535" s="5" t="inlineStr">
        <is>
          <t>ADV1-LR</t>
        </is>
      </c>
      <c r="B535" s="6" t="inlineStr">
        <is>
          <t>IRPJ</t>
        </is>
      </c>
      <c r="C535" s="6" t="inlineStr">
        <is>
          <t>R$ 435.900,00 x 15% + 10% sobre o que exceder R$ 240.000,00</t>
        </is>
      </c>
      <c r="D535" s="7" t="n">
        <v>84975</v>
      </c>
      <c r="E535" s="6" t="inlineStr">
        <is>
          <t>Lei 9.249/1995, art. 3º; Lei 9.430/1996, art. 2º</t>
        </is>
      </c>
    </row>
    <row r="536">
      <c r="A536" s="5" t="inlineStr">
        <is>
          <t>ADV1-LR</t>
        </is>
      </c>
      <c r="B536" s="6" t="inlineStr">
        <is>
          <t>CSLL</t>
        </is>
      </c>
      <c r="C536" s="6" t="inlineStr">
        <is>
          <t>R$ 435.900,00 x 9%</t>
        </is>
      </c>
      <c r="D536" s="7" t="n">
        <v>39231</v>
      </c>
      <c r="E536" s="6" t="inlineStr">
        <is>
          <t>Lei 7.689/1988, art. 3º</t>
        </is>
      </c>
    </row>
    <row r="537">
      <c r="A537" s="5" t="inlineStr">
        <is>
          <t>CONT1-SN</t>
        </is>
      </c>
      <c r="B537" s="6" t="inlineStr">
        <is>
          <t>Alíquota efetiva - Anexo III, 3ª faixa</t>
        </is>
      </c>
      <c r="C537" s="6" t="inlineStr">
        <is>
          <t>(R$ 600.000,00 x 13,50% - R$ 17.640,00) / R$ 600.000,00 = 10,5600%</t>
        </is>
      </c>
      <c r="D537" s="19" t="n">
        <v>0.1056</v>
      </c>
      <c r="E537" s="6" t="inlineStr">
        <is>
          <t>LC 123/2006, art. 18, §1º e §1º-A</t>
        </is>
      </c>
    </row>
    <row r="538">
      <c r="A538" s="5" t="inlineStr">
        <is>
          <t>CONT1-SN</t>
        </is>
      </c>
      <c r="B538" s="6" t="inlineStr">
        <is>
          <t>DAS anual</t>
        </is>
      </c>
      <c r="C538" s="6" t="inlineStr">
        <is>
          <t>R$ 600.000,00 x 10,5600% x (1 - 32,50% de ISS da partilha da faixa)</t>
        </is>
      </c>
      <c r="D538" s="7" t="n">
        <v>42768</v>
      </c>
      <c r="E538" s="6" t="inlineStr">
        <is>
          <t>LC 123/2006, art. 18, § 5º-B, XIV e § 22-A; Res. CGSN 140/2018, art. 25, § 1º, VIII, e art. 34</t>
        </is>
      </c>
    </row>
    <row r="539">
      <c r="A539" s="5" t="inlineStr">
        <is>
          <t>CONT1-SN</t>
        </is>
      </c>
      <c r="B539" s="6" t="inlineStr">
        <is>
          <t>ISS fixo do escritório de serviços contábeis</t>
        </is>
      </c>
      <c r="C539" s="6" t="inlineStr">
        <is>
          <t>2 profissional(is) x R$ 1.500,00/ano</t>
        </is>
      </c>
      <c r="D539" s="7" t="n">
        <v>3000</v>
      </c>
      <c r="E539" s="6" t="inlineStr">
        <is>
          <t>LC 123/2006, art. 18, § 5º-B, XIV e § 22-A; Res. CGSN 140/2018, art. 25, § 1º, VIII, e art. 34</t>
        </is>
      </c>
    </row>
    <row r="540">
      <c r="A540" s="5" t="inlineStr">
        <is>
          <t>CONT1-LP</t>
        </is>
      </c>
      <c r="B540" s="6" t="inlineStr">
        <is>
          <t>Percentuais de presunção</t>
        </is>
      </c>
      <c r="C540" s="6" t="inlineStr">
        <is>
          <t>Prestação de serviços em geral: IRPJ 32,0%, CSLL 32,0%</t>
        </is>
      </c>
      <c r="D540" s="19" t="n">
        <v>0.32</v>
      </c>
      <c r="E540" s="6" t="inlineStr">
        <is>
          <t>Lei 9.249/1995, art. 15, §1º e art. 20</t>
        </is>
      </c>
    </row>
    <row r="541">
      <c r="A541" s="5" t="inlineStr">
        <is>
          <t>CONT1-LP</t>
        </is>
      </c>
      <c r="B541" s="6" t="inlineStr">
        <is>
          <t>1º tri - base presumida IRPJ</t>
        </is>
      </c>
      <c r="C541" s="6" t="inlineStr">
        <is>
          <t>R$ 150.000,00 x 32,0%</t>
        </is>
      </c>
      <c r="D541" s="7" t="n">
        <v>48000</v>
      </c>
      <c r="E541" s="6" t="inlineStr">
        <is>
          <t>Lei 9.249/1995, arts. 15 e 20</t>
        </is>
      </c>
    </row>
    <row r="542">
      <c r="A542" s="5" t="inlineStr">
        <is>
          <t>CONT1-LP</t>
        </is>
      </c>
      <c r="B542" s="6" t="inlineStr">
        <is>
          <t>1º tri - IRPJ</t>
        </is>
      </c>
      <c r="C542" s="6" t="inlineStr">
        <is>
          <t>R$ 48.000,00 x 15% + adicional 10% sobre o que exceder R$ 60.000,00</t>
        </is>
      </c>
      <c r="D542" s="7" t="n">
        <v>7200</v>
      </c>
      <c r="E542" s="6" t="inlineStr">
        <is>
          <t>Lei 9.430/1996, arts. 3º e 4º</t>
        </is>
      </c>
    </row>
    <row r="543">
      <c r="A543" s="5" t="inlineStr">
        <is>
          <t>CONT1-LP</t>
        </is>
      </c>
      <c r="B543" s="6" t="inlineStr">
        <is>
          <t>1º tri - base presumida CSLL</t>
        </is>
      </c>
      <c r="C543" s="6" t="inlineStr">
        <is>
          <t>R$ 150.000,00 x 32,0%</t>
        </is>
      </c>
      <c r="D543" s="7" t="n">
        <v>48000</v>
      </c>
      <c r="E543" s="6" t="inlineStr">
        <is>
          <t>Lei 9.249/1995, arts. 15 e 20</t>
        </is>
      </c>
    </row>
    <row r="544">
      <c r="A544" s="5" t="inlineStr">
        <is>
          <t>CONT1-LP</t>
        </is>
      </c>
      <c r="B544" s="6" t="inlineStr">
        <is>
          <t>1º tri - CSLL</t>
        </is>
      </c>
      <c r="C544" s="6" t="inlineStr">
        <is>
          <t>R$ 48.000,00 x 9%</t>
        </is>
      </c>
      <c r="D544" s="7" t="n">
        <v>4320</v>
      </c>
      <c r="E544" s="6" t="inlineStr">
        <is>
          <t>Lei 7.689/1988, art. 3º</t>
        </is>
      </c>
    </row>
    <row r="545">
      <c r="A545" s="5" t="inlineStr">
        <is>
          <t>CONT1-LP</t>
        </is>
      </c>
      <c r="B545" s="6" t="inlineStr">
        <is>
          <t>2º tri - base presumida IRPJ</t>
        </is>
      </c>
      <c r="C545" s="6" t="inlineStr">
        <is>
          <t>R$ 150.000,00 x 32,0%</t>
        </is>
      </c>
      <c r="D545" s="7" t="n">
        <v>48000</v>
      </c>
      <c r="E545" s="6" t="inlineStr">
        <is>
          <t>Lei 9.249/1995, arts. 15 e 20</t>
        </is>
      </c>
    </row>
    <row r="546">
      <c r="A546" s="5" t="inlineStr">
        <is>
          <t>CONT1-LP</t>
        </is>
      </c>
      <c r="B546" s="6" t="inlineStr">
        <is>
          <t>2º tri - IRPJ</t>
        </is>
      </c>
      <c r="C546" s="6" t="inlineStr">
        <is>
          <t>R$ 48.000,00 x 15% + adicional 10% sobre o que exceder R$ 60.000,00</t>
        </is>
      </c>
      <c r="D546" s="7" t="n">
        <v>7200</v>
      </c>
      <c r="E546" s="6" t="inlineStr">
        <is>
          <t>Lei 9.430/1996, arts. 3º e 4º</t>
        </is>
      </c>
    </row>
    <row r="547">
      <c r="A547" s="5" t="inlineStr">
        <is>
          <t>CONT1-LP</t>
        </is>
      </c>
      <c r="B547" s="6" t="inlineStr">
        <is>
          <t>2º tri - base presumida CSLL</t>
        </is>
      </c>
      <c r="C547" s="6" t="inlineStr">
        <is>
          <t>R$ 150.000,00 x 32,0%</t>
        </is>
      </c>
      <c r="D547" s="7" t="n">
        <v>48000</v>
      </c>
      <c r="E547" s="6" t="inlineStr">
        <is>
          <t>Lei 9.249/1995, arts. 15 e 20</t>
        </is>
      </c>
    </row>
    <row r="548">
      <c r="A548" s="5" t="inlineStr">
        <is>
          <t>CONT1-LP</t>
        </is>
      </c>
      <c r="B548" s="6" t="inlineStr">
        <is>
          <t>2º tri - CSLL</t>
        </is>
      </c>
      <c r="C548" s="6" t="inlineStr">
        <is>
          <t>R$ 48.000,00 x 9%</t>
        </is>
      </c>
      <c r="D548" s="7" t="n">
        <v>4320</v>
      </c>
      <c r="E548" s="6" t="inlineStr">
        <is>
          <t>Lei 7.689/1988, art. 3º</t>
        </is>
      </c>
    </row>
    <row r="549">
      <c r="A549" s="5" t="inlineStr">
        <is>
          <t>CONT1-LP</t>
        </is>
      </c>
      <c r="B549" s="6" t="inlineStr">
        <is>
          <t>3º tri - base presumida IRPJ</t>
        </is>
      </c>
      <c r="C549" s="6" t="inlineStr">
        <is>
          <t>R$ 150.000,00 x 32,0%</t>
        </is>
      </c>
      <c r="D549" s="7" t="n">
        <v>48000</v>
      </c>
      <c r="E549" s="6" t="inlineStr">
        <is>
          <t>Lei 9.249/1995, arts. 15 e 20</t>
        </is>
      </c>
    </row>
    <row r="550">
      <c r="A550" s="5" t="inlineStr">
        <is>
          <t>CONT1-LP</t>
        </is>
      </c>
      <c r="B550" s="6" t="inlineStr">
        <is>
          <t>3º tri - IRPJ</t>
        </is>
      </c>
      <c r="C550" s="6" t="inlineStr">
        <is>
          <t>R$ 48.000,00 x 15% + adicional 10% sobre o que exceder R$ 60.000,00</t>
        </is>
      </c>
      <c r="D550" s="7" t="n">
        <v>7200</v>
      </c>
      <c r="E550" s="6" t="inlineStr">
        <is>
          <t>Lei 9.430/1996, arts. 3º e 4º</t>
        </is>
      </c>
    </row>
    <row r="551">
      <c r="A551" s="5" t="inlineStr">
        <is>
          <t>CONT1-LP</t>
        </is>
      </c>
      <c r="B551" s="6" t="inlineStr">
        <is>
          <t>3º tri - base presumida CSLL</t>
        </is>
      </c>
      <c r="C551" s="6" t="inlineStr">
        <is>
          <t>R$ 150.000,00 x 32,0%</t>
        </is>
      </c>
      <c r="D551" s="7" t="n">
        <v>48000</v>
      </c>
      <c r="E551" s="6" t="inlineStr">
        <is>
          <t>Lei 9.249/1995, arts. 15 e 20</t>
        </is>
      </c>
    </row>
    <row r="552">
      <c r="A552" s="5" t="inlineStr">
        <is>
          <t>CONT1-LP</t>
        </is>
      </c>
      <c r="B552" s="6" t="inlineStr">
        <is>
          <t>3º tri - CSLL</t>
        </is>
      </c>
      <c r="C552" s="6" t="inlineStr">
        <is>
          <t>R$ 48.000,00 x 9%</t>
        </is>
      </c>
      <c r="D552" s="7" t="n">
        <v>4320</v>
      </c>
      <c r="E552" s="6" t="inlineStr">
        <is>
          <t>Lei 7.689/1988, art. 3º</t>
        </is>
      </c>
    </row>
    <row r="553">
      <c r="A553" s="5" t="inlineStr">
        <is>
          <t>CONT1-LP</t>
        </is>
      </c>
      <c r="B553" s="6" t="inlineStr">
        <is>
          <t>4º tri - base presumida IRPJ</t>
        </is>
      </c>
      <c r="C553" s="6" t="inlineStr">
        <is>
          <t>R$ 150.000,00 x 32,0%</t>
        </is>
      </c>
      <c r="D553" s="7" t="n">
        <v>48000</v>
      </c>
      <c r="E553" s="6" t="inlineStr">
        <is>
          <t>Lei 9.249/1995, arts. 15 e 20</t>
        </is>
      </c>
    </row>
    <row r="554">
      <c r="A554" s="5" t="inlineStr">
        <is>
          <t>CONT1-LP</t>
        </is>
      </c>
      <c r="B554" s="6" t="inlineStr">
        <is>
          <t>4º tri - IRPJ</t>
        </is>
      </c>
      <c r="C554" s="6" t="inlineStr">
        <is>
          <t>R$ 48.000,00 x 15% + adicional 10% sobre o que exceder R$ 60.000,00</t>
        </is>
      </c>
      <c r="D554" s="7" t="n">
        <v>7200</v>
      </c>
      <c r="E554" s="6" t="inlineStr">
        <is>
          <t>Lei 9.430/1996, arts. 3º e 4º</t>
        </is>
      </c>
    </row>
    <row r="555">
      <c r="A555" s="5" t="inlineStr">
        <is>
          <t>CONT1-LP</t>
        </is>
      </c>
      <c r="B555" s="6" t="inlineStr">
        <is>
          <t>4º tri - base presumida CSLL</t>
        </is>
      </c>
      <c r="C555" s="6" t="inlineStr">
        <is>
          <t>R$ 150.000,00 x 32,0%</t>
        </is>
      </c>
      <c r="D555" s="7" t="n">
        <v>48000</v>
      </c>
      <c r="E555" s="6" t="inlineStr">
        <is>
          <t>Lei 9.249/1995, arts. 15 e 20</t>
        </is>
      </c>
    </row>
    <row r="556">
      <c r="A556" s="5" t="inlineStr">
        <is>
          <t>CONT1-LP</t>
        </is>
      </c>
      <c r="B556" s="6" t="inlineStr">
        <is>
          <t>4º tri - CSLL</t>
        </is>
      </c>
      <c r="C556" s="6" t="inlineStr">
        <is>
          <t>R$ 48.000,00 x 9%</t>
        </is>
      </c>
      <c r="D556" s="7" t="n">
        <v>4320</v>
      </c>
      <c r="E556" s="6" t="inlineStr">
        <is>
          <t>Lei 7.689/1988, art. 3º</t>
        </is>
      </c>
    </row>
    <row r="557">
      <c r="A557" s="5" t="inlineStr">
        <is>
          <t>CONT1-LP</t>
        </is>
      </c>
      <c r="B557" s="6" t="inlineStr">
        <is>
          <t>PIS cumulativo</t>
        </is>
      </c>
      <c r="C557" s="6" t="inlineStr">
        <is>
          <t>R$ 600.000,00 x 0,65%</t>
        </is>
      </c>
      <c r="D557" s="7" t="n">
        <v>3900</v>
      </c>
      <c r="E557" s="6" t="inlineStr">
        <is>
          <t>Lei 9.715/1998</t>
        </is>
      </c>
    </row>
    <row r="558">
      <c r="A558" s="5" t="inlineStr">
        <is>
          <t>CONT1-LP</t>
        </is>
      </c>
      <c r="B558" s="6" t="inlineStr">
        <is>
          <t>Cofins cumulativa</t>
        </is>
      </c>
      <c r="C558" s="6" t="inlineStr">
        <is>
          <t>R$ 600.000,00 x 3,00%</t>
        </is>
      </c>
      <c r="D558" s="7" t="n">
        <v>18000</v>
      </c>
      <c r="E558" s="6" t="inlineStr">
        <is>
          <t>Lei 9.718/1998</t>
        </is>
      </c>
    </row>
    <row r="559">
      <c r="A559" s="5" t="inlineStr">
        <is>
          <t>CONT1-LP</t>
        </is>
      </c>
      <c r="B559" s="6" t="inlineStr">
        <is>
          <t>ISS fixo da sociedade de profissionais</t>
        </is>
      </c>
      <c r="C559" s="6" t="inlineStr">
        <is>
          <t>2 profissional(is) x R$ 1.500,00/ano</t>
        </is>
      </c>
      <c r="D559" s="7" t="n">
        <v>3000</v>
      </c>
      <c r="E559" s="6" t="inlineStr">
        <is>
          <t>Decreto-Lei 406/1968, art. 9º, §§ 1º e 3º, e lei municipal</t>
        </is>
      </c>
    </row>
    <row r="560">
      <c r="A560" s="5" t="inlineStr">
        <is>
          <t>CONT1-LP</t>
        </is>
      </c>
      <c r="B560" s="6" t="inlineStr">
        <is>
          <t>INSS patronal sobre a folha CLT</t>
        </is>
      </c>
      <c r="C560" s="6" t="inlineStr">
        <is>
          <t>R$ 0,00 x (20,00% CPP + 2,00% RAT + 5,80% terceiros)</t>
        </is>
      </c>
      <c r="D560" s="7" t="n">
        <v>0</v>
      </c>
      <c r="E560" s="6" t="inlineStr">
        <is>
          <t>Lei 8.212/1991, art. 22, I e II</t>
        </is>
      </c>
    </row>
    <row r="561">
      <c r="A561" s="5" t="inlineStr">
        <is>
          <t>CONT1-LP</t>
        </is>
      </c>
      <c r="B561" s="6" t="inlineStr">
        <is>
          <t>INSS patronal sobre o pró-labore</t>
        </is>
      </c>
      <c r="C561" s="6" t="inlineStr">
        <is>
          <t>R$ 36.000,00 x 20,00%</t>
        </is>
      </c>
      <c r="D561" s="7" t="n">
        <v>7200</v>
      </c>
      <c r="E561" s="6" t="inlineStr">
        <is>
          <t>Lei 8.212/1991, art. 22, III</t>
        </is>
      </c>
    </row>
    <row r="562">
      <c r="A562" s="5" t="inlineStr">
        <is>
          <t>CONT1-LR</t>
        </is>
      </c>
      <c r="B562" s="6" t="inlineStr">
        <is>
          <t>PIS - débito</t>
        </is>
      </c>
      <c r="C562" s="6" t="inlineStr">
        <is>
          <t>R$ 600.000,00 x 1,65%</t>
        </is>
      </c>
      <c r="D562" s="7" t="n">
        <v>9900</v>
      </c>
      <c r="E562" s="6" t="inlineStr">
        <is>
          <t>Lei 10.637/2002</t>
        </is>
      </c>
    </row>
    <row r="563">
      <c r="A563" s="5" t="inlineStr">
        <is>
          <t>CONT1-LR</t>
        </is>
      </c>
      <c r="B563" s="6" t="inlineStr">
        <is>
          <t>PIS - crédito</t>
        </is>
      </c>
      <c r="C563" s="6" t="inlineStr">
        <is>
          <t>(R$ 0,00 compras + R$ 0,00 despesas creditáveis) x 1,65%</t>
        </is>
      </c>
      <c r="D563" s="7" t="n">
        <v>0</v>
      </c>
      <c r="E563" s="6" t="inlineStr">
        <is>
          <t>Lei 10.637/2002, art. 3º</t>
        </is>
      </c>
    </row>
    <row r="564">
      <c r="A564" s="5" t="inlineStr">
        <is>
          <t>CONT1-LR</t>
        </is>
      </c>
      <c r="B564" s="6" t="inlineStr">
        <is>
          <t>Cofins - débito</t>
        </is>
      </c>
      <c r="C564" s="6" t="inlineStr">
        <is>
          <t>R$ 600.000,00 x 7,60%</t>
        </is>
      </c>
      <c r="D564" s="7" t="n">
        <v>45600</v>
      </c>
      <c r="E564" s="6" t="inlineStr">
        <is>
          <t>Lei 10.833/2003</t>
        </is>
      </c>
    </row>
    <row r="565">
      <c r="A565" s="5" t="inlineStr">
        <is>
          <t>CONT1-LR</t>
        </is>
      </c>
      <c r="B565" s="6" t="inlineStr">
        <is>
          <t>Cofins - crédito</t>
        </is>
      </c>
      <c r="C565" s="6" t="inlineStr">
        <is>
          <t>(R$ 0,00 compras + R$ 0,00 despesas creditáveis) x 7,60%</t>
        </is>
      </c>
      <c r="D565" s="7" t="n">
        <v>0</v>
      </c>
      <c r="E565" s="6" t="inlineStr">
        <is>
          <t>Lei 10.833/2003, art. 3º</t>
        </is>
      </c>
    </row>
    <row r="566">
      <c r="A566" s="5" t="inlineStr">
        <is>
          <t>CONT1-LR</t>
        </is>
      </c>
      <c r="B566" s="6" t="inlineStr">
        <is>
          <t>ISS fixo da sociedade de profissionais</t>
        </is>
      </c>
      <c r="C566" s="6" t="inlineStr">
        <is>
          <t>2 profissional(is) x R$ 1.500,00/ano</t>
        </is>
      </c>
      <c r="D566" s="7" t="n">
        <v>3000</v>
      </c>
      <c r="E566" s="6" t="inlineStr">
        <is>
          <t>Decreto-Lei 406/1968, art. 9º, §§ 1º e 3º, e lei municipal</t>
        </is>
      </c>
    </row>
    <row r="567">
      <c r="A567" s="5" t="inlineStr">
        <is>
          <t>CONT1-LR</t>
        </is>
      </c>
      <c r="B567" s="6" t="inlineStr">
        <is>
          <t>INSS patronal sobre a folha CLT</t>
        </is>
      </c>
      <c r="C567" s="6" t="inlineStr">
        <is>
          <t>R$ 0,00 x (20,00% CPP + 2,00% RAT + 5,80% terceiros)</t>
        </is>
      </c>
      <c r="D567" s="7" t="n">
        <v>0</v>
      </c>
      <c r="E567" s="6" t="inlineStr">
        <is>
          <t>Lei 8.212/1991, art. 22, I e II</t>
        </is>
      </c>
    </row>
    <row r="568">
      <c r="A568" s="5" t="inlineStr">
        <is>
          <t>CONT1-LR</t>
        </is>
      </c>
      <c r="B568" s="6" t="inlineStr">
        <is>
          <t>INSS patronal sobre o pró-labore</t>
        </is>
      </c>
      <c r="C568" s="6" t="inlineStr">
        <is>
          <t>R$ 36.000,00 x 20,00%</t>
        </is>
      </c>
      <c r="D568" s="7" t="n">
        <v>7200</v>
      </c>
      <c r="E568" s="6" t="inlineStr">
        <is>
          <t>Lei 8.212/1991, art. 22, III</t>
        </is>
      </c>
    </row>
    <row r="569">
      <c r="A569" s="5" t="inlineStr">
        <is>
          <t>CONT1-LR</t>
        </is>
      </c>
      <c r="B569" s="6" t="inlineStr">
        <is>
          <t>Lucro antes do IRPJ/CSLL</t>
        </is>
      </c>
      <c r="C569" s="6" t="inlineStr">
        <is>
          <t>R$ 600.000,00 receita - R$ 0,00 compras - R$ 60.000,00 despesas - R$ 36.000,00 folha e pró-labore - R$ 0,00 FGTS - R$ 65.700,00 tributos dedutíveis</t>
        </is>
      </c>
      <c r="D569" s="7" t="n">
        <v>438300</v>
      </c>
      <c r="E569" s="6" t="inlineStr">
        <is>
          <t>Lei 6.404/1976 (DRE)</t>
        </is>
      </c>
    </row>
    <row r="570">
      <c r="A570" s="5" t="inlineStr">
        <is>
          <t>CONT1-LR</t>
        </is>
      </c>
      <c r="B570" s="6" t="inlineStr">
        <is>
          <t>IRPJ</t>
        </is>
      </c>
      <c r="C570" s="6" t="inlineStr">
        <is>
          <t>R$ 438.300,00 x 15% + 10% sobre o que exceder R$ 240.000,00</t>
        </is>
      </c>
      <c r="D570" s="7" t="n">
        <v>85575</v>
      </c>
      <c r="E570" s="6" t="inlineStr">
        <is>
          <t>Lei 9.249/1995, art. 3º; Lei 9.430/1996, art. 2º</t>
        </is>
      </c>
    </row>
    <row r="571">
      <c r="A571" s="5" t="inlineStr">
        <is>
          <t>CONT1-LR</t>
        </is>
      </c>
      <c r="B571" s="6" t="inlineStr">
        <is>
          <t>CSLL</t>
        </is>
      </c>
      <c r="C571" s="6" t="inlineStr">
        <is>
          <t>R$ 438.300,00 x 9%</t>
        </is>
      </c>
      <c r="D571" s="7" t="n">
        <v>39447</v>
      </c>
      <c r="E571" s="6" t="inlineStr">
        <is>
          <t>Lei 7.689/1988, art. 3º</t>
        </is>
      </c>
    </row>
    <row r="572">
      <c r="A572" s="5" t="inlineStr">
        <is>
          <t>HOSP1-SN</t>
        </is>
      </c>
      <c r="B572" s="6" t="inlineStr">
        <is>
          <t>Fator R (folha 12 meses / RBT12)</t>
        </is>
      </c>
      <c r="C572" s="6" t="inlineStr">
        <is>
          <t>R$ 384.000,00 (salários + pró-labore + FGTS 8%) / R$ 1.200.000,00 = 32,00% -&gt; Anexo III</t>
        </is>
      </c>
      <c r="D572" s="19" t="n">
        <v>0.32</v>
      </c>
      <c r="E572" s="6" t="inlineStr">
        <is>
          <t>LC 123/2006, art. 18, §5º-J, §5º-M e §24</t>
        </is>
      </c>
    </row>
    <row r="573">
      <c r="A573" s="5" t="inlineStr">
        <is>
          <t>HOSP1-SN</t>
        </is>
      </c>
      <c r="B573" s="6" t="inlineStr">
        <is>
          <t>Alíquota efetiva - Anexo III, 4ª faixa</t>
        </is>
      </c>
      <c r="C573" s="6" t="inlineStr">
        <is>
          <t>(R$ 1.200.000,00 x 16,00% - R$ 35.640,00) / R$ 1.200.000,00 = 13,0300%</t>
        </is>
      </c>
      <c r="D573" s="19" t="n">
        <v>0.1303</v>
      </c>
      <c r="E573" s="6" t="inlineStr">
        <is>
          <t>LC 123/2006, art. 18, §1º e §1º-A</t>
        </is>
      </c>
    </row>
    <row r="574">
      <c r="A574" s="5" t="inlineStr">
        <is>
          <t>HOSP1-SN</t>
        </is>
      </c>
      <c r="B574" s="6" t="inlineStr">
        <is>
          <t>DAS anual</t>
        </is>
      </c>
      <c r="C574" s="6" t="inlineStr">
        <is>
          <t>R$ 1.200.000,00 x 13,0300%</t>
        </is>
      </c>
      <c r="D574" s="7" t="n">
        <v>156360</v>
      </c>
      <c r="E574" s="6" t="inlineStr">
        <is>
          <t>LC 123/2006, art. 13</t>
        </is>
      </c>
    </row>
    <row r="575">
      <c r="A575" s="5" t="inlineStr">
        <is>
          <t>HOSP1-LP</t>
        </is>
      </c>
      <c r="B575" s="6" t="inlineStr">
        <is>
          <t>Percentuais de presunção</t>
        </is>
      </c>
      <c r="C575" s="6" t="inlineStr">
        <is>
          <t>Serviços hospitalares e afins (requisitos legais): IRPJ 8,0%, CSLL 12,0%</t>
        </is>
      </c>
      <c r="D575" s="19" t="n">
        <v>0.08</v>
      </c>
      <c r="E575" s="6" t="inlineStr">
        <is>
          <t>Lei 9.249/1995, art. 15, §1º e art. 20</t>
        </is>
      </c>
    </row>
    <row r="576">
      <c r="A576" s="5" t="inlineStr">
        <is>
          <t>HOSP1-LP</t>
        </is>
      </c>
      <c r="B576" s="6" t="inlineStr">
        <is>
          <t>1º tri - base presumida IRPJ</t>
        </is>
      </c>
      <c r="C576" s="6" t="inlineStr">
        <is>
          <t>R$ 300.000,00 x 8,0%</t>
        </is>
      </c>
      <c r="D576" s="7" t="n">
        <v>24000</v>
      </c>
      <c r="E576" s="6" t="inlineStr">
        <is>
          <t>Lei 9.249/1995, arts. 15 e 20</t>
        </is>
      </c>
    </row>
    <row r="577">
      <c r="A577" s="5" t="inlineStr">
        <is>
          <t>HOSP1-LP</t>
        </is>
      </c>
      <c r="B577" s="6" t="inlineStr">
        <is>
          <t>1º tri - IRPJ</t>
        </is>
      </c>
      <c r="C577" s="6" t="inlineStr">
        <is>
          <t>R$ 24.000,00 x 15% + adicional 10% sobre o que exceder R$ 60.000,00</t>
        </is>
      </c>
      <c r="D577" s="7" t="n">
        <v>3600</v>
      </c>
      <c r="E577" s="6" t="inlineStr">
        <is>
          <t>Lei 9.430/1996, arts. 3º e 4º</t>
        </is>
      </c>
    </row>
    <row r="578">
      <c r="A578" s="5" t="inlineStr">
        <is>
          <t>HOSP1-LP</t>
        </is>
      </c>
      <c r="B578" s="6" t="inlineStr">
        <is>
          <t>1º tri - base presumida CSLL</t>
        </is>
      </c>
      <c r="C578" s="6" t="inlineStr">
        <is>
          <t>R$ 300.000,00 x 12,0%</t>
        </is>
      </c>
      <c r="D578" s="7" t="n">
        <v>36000</v>
      </c>
      <c r="E578" s="6" t="inlineStr">
        <is>
          <t>Lei 9.249/1995, arts. 15 e 20</t>
        </is>
      </c>
    </row>
    <row r="579">
      <c r="A579" s="5" t="inlineStr">
        <is>
          <t>HOSP1-LP</t>
        </is>
      </c>
      <c r="B579" s="6" t="inlineStr">
        <is>
          <t>1º tri - CSLL</t>
        </is>
      </c>
      <c r="C579" s="6" t="inlineStr">
        <is>
          <t>R$ 36.000,00 x 9%</t>
        </is>
      </c>
      <c r="D579" s="7" t="n">
        <v>3240</v>
      </c>
      <c r="E579" s="6" t="inlineStr">
        <is>
          <t>Lei 7.689/1988, art. 3º</t>
        </is>
      </c>
    </row>
    <row r="580">
      <c r="A580" s="5" t="inlineStr">
        <is>
          <t>HOSP1-LP</t>
        </is>
      </c>
      <c r="B580" s="6" t="inlineStr">
        <is>
          <t>2º tri - base presumida IRPJ</t>
        </is>
      </c>
      <c r="C580" s="6" t="inlineStr">
        <is>
          <t>R$ 300.000,00 x 8,0%</t>
        </is>
      </c>
      <c r="D580" s="7" t="n">
        <v>24000</v>
      </c>
      <c r="E580" s="6" t="inlineStr">
        <is>
          <t>Lei 9.249/1995, arts. 15 e 20</t>
        </is>
      </c>
    </row>
    <row r="581">
      <c r="A581" s="5" t="inlineStr">
        <is>
          <t>HOSP1-LP</t>
        </is>
      </c>
      <c r="B581" s="6" t="inlineStr">
        <is>
          <t>2º tri - IRPJ</t>
        </is>
      </c>
      <c r="C581" s="6" t="inlineStr">
        <is>
          <t>R$ 24.000,00 x 15% + adicional 10% sobre o que exceder R$ 60.000,00</t>
        </is>
      </c>
      <c r="D581" s="7" t="n">
        <v>3600</v>
      </c>
      <c r="E581" s="6" t="inlineStr">
        <is>
          <t>Lei 9.430/1996, arts. 3º e 4º</t>
        </is>
      </c>
    </row>
    <row r="582">
      <c r="A582" s="5" t="inlineStr">
        <is>
          <t>HOSP1-LP</t>
        </is>
      </c>
      <c r="B582" s="6" t="inlineStr">
        <is>
          <t>2º tri - base presumida CSLL</t>
        </is>
      </c>
      <c r="C582" s="6" t="inlineStr">
        <is>
          <t>R$ 300.000,00 x 12,0%</t>
        </is>
      </c>
      <c r="D582" s="7" t="n">
        <v>36000</v>
      </c>
      <c r="E582" s="6" t="inlineStr">
        <is>
          <t>Lei 9.249/1995, arts. 15 e 20</t>
        </is>
      </c>
    </row>
    <row r="583">
      <c r="A583" s="5" t="inlineStr">
        <is>
          <t>HOSP1-LP</t>
        </is>
      </c>
      <c r="B583" s="6" t="inlineStr">
        <is>
          <t>2º tri - CSLL</t>
        </is>
      </c>
      <c r="C583" s="6" t="inlineStr">
        <is>
          <t>R$ 36.000,00 x 9%</t>
        </is>
      </c>
      <c r="D583" s="7" t="n">
        <v>3240</v>
      </c>
      <c r="E583" s="6" t="inlineStr">
        <is>
          <t>Lei 7.689/1988, art. 3º</t>
        </is>
      </c>
    </row>
    <row r="584">
      <c r="A584" s="5" t="inlineStr">
        <is>
          <t>HOSP1-LP</t>
        </is>
      </c>
      <c r="B584" s="6" t="inlineStr">
        <is>
          <t>3º tri - base presumida IRPJ</t>
        </is>
      </c>
      <c r="C584" s="6" t="inlineStr">
        <is>
          <t>R$ 300.000,00 x 8,0%</t>
        </is>
      </c>
      <c r="D584" s="7" t="n">
        <v>24000</v>
      </c>
      <c r="E584" s="6" t="inlineStr">
        <is>
          <t>Lei 9.249/1995, arts. 15 e 20</t>
        </is>
      </c>
    </row>
    <row r="585">
      <c r="A585" s="5" t="inlineStr">
        <is>
          <t>HOSP1-LP</t>
        </is>
      </c>
      <c r="B585" s="6" t="inlineStr">
        <is>
          <t>3º tri - IRPJ</t>
        </is>
      </c>
      <c r="C585" s="6" t="inlineStr">
        <is>
          <t>R$ 24.000,00 x 15% + adicional 10% sobre o que exceder R$ 60.000,00</t>
        </is>
      </c>
      <c r="D585" s="7" t="n">
        <v>3600</v>
      </c>
      <c r="E585" s="6" t="inlineStr">
        <is>
          <t>Lei 9.430/1996, arts. 3º e 4º</t>
        </is>
      </c>
    </row>
    <row r="586">
      <c r="A586" s="5" t="inlineStr">
        <is>
          <t>HOSP1-LP</t>
        </is>
      </c>
      <c r="B586" s="6" t="inlineStr">
        <is>
          <t>3º tri - base presumida CSLL</t>
        </is>
      </c>
      <c r="C586" s="6" t="inlineStr">
        <is>
          <t>R$ 300.000,00 x 12,0%</t>
        </is>
      </c>
      <c r="D586" s="7" t="n">
        <v>36000</v>
      </c>
      <c r="E586" s="6" t="inlineStr">
        <is>
          <t>Lei 9.249/1995, arts. 15 e 20</t>
        </is>
      </c>
    </row>
    <row r="587">
      <c r="A587" s="5" t="inlineStr">
        <is>
          <t>HOSP1-LP</t>
        </is>
      </c>
      <c r="B587" s="6" t="inlineStr">
        <is>
          <t>3º tri - CSLL</t>
        </is>
      </c>
      <c r="C587" s="6" t="inlineStr">
        <is>
          <t>R$ 36.000,00 x 9%</t>
        </is>
      </c>
      <c r="D587" s="7" t="n">
        <v>3240</v>
      </c>
      <c r="E587" s="6" t="inlineStr">
        <is>
          <t>Lei 7.689/1988, art. 3º</t>
        </is>
      </c>
    </row>
    <row r="588">
      <c r="A588" s="5" t="inlineStr">
        <is>
          <t>HOSP1-LP</t>
        </is>
      </c>
      <c r="B588" s="6" t="inlineStr">
        <is>
          <t>4º tri - base presumida IRPJ</t>
        </is>
      </c>
      <c r="C588" s="6" t="inlineStr">
        <is>
          <t>R$ 300.000,00 x 8,0%</t>
        </is>
      </c>
      <c r="D588" s="7" t="n">
        <v>24000</v>
      </c>
      <c r="E588" s="6" t="inlineStr">
        <is>
          <t>Lei 9.249/1995, arts. 15 e 20</t>
        </is>
      </c>
    </row>
    <row r="589">
      <c r="A589" s="5" t="inlineStr">
        <is>
          <t>HOSP1-LP</t>
        </is>
      </c>
      <c r="B589" s="6" t="inlineStr">
        <is>
          <t>4º tri - IRPJ</t>
        </is>
      </c>
      <c r="C589" s="6" t="inlineStr">
        <is>
          <t>R$ 24.000,00 x 15% + adicional 10% sobre o que exceder R$ 60.000,00</t>
        </is>
      </c>
      <c r="D589" s="7" t="n">
        <v>3600</v>
      </c>
      <c r="E589" s="6" t="inlineStr">
        <is>
          <t>Lei 9.430/1996, arts. 3º e 4º</t>
        </is>
      </c>
    </row>
    <row r="590">
      <c r="A590" s="5" t="inlineStr">
        <is>
          <t>HOSP1-LP</t>
        </is>
      </c>
      <c r="B590" s="6" t="inlineStr">
        <is>
          <t>4º tri - base presumida CSLL</t>
        </is>
      </c>
      <c r="C590" s="6" t="inlineStr">
        <is>
          <t>R$ 300.000,00 x 12,0%</t>
        </is>
      </c>
      <c r="D590" s="7" t="n">
        <v>36000</v>
      </c>
      <c r="E590" s="6" t="inlineStr">
        <is>
          <t>Lei 9.249/1995, arts. 15 e 20</t>
        </is>
      </c>
    </row>
    <row r="591">
      <c r="A591" s="5" t="inlineStr">
        <is>
          <t>HOSP1-LP</t>
        </is>
      </c>
      <c r="B591" s="6" t="inlineStr">
        <is>
          <t>4º tri - CSLL</t>
        </is>
      </c>
      <c r="C591" s="6" t="inlineStr">
        <is>
          <t>R$ 36.000,00 x 9%</t>
        </is>
      </c>
      <c r="D591" s="7" t="n">
        <v>3240</v>
      </c>
      <c r="E591" s="6" t="inlineStr">
        <is>
          <t>Lei 7.689/1988, art. 3º</t>
        </is>
      </c>
    </row>
    <row r="592">
      <c r="A592" s="5" t="inlineStr">
        <is>
          <t>HOSP1-LP</t>
        </is>
      </c>
      <c r="B592" s="6" t="inlineStr">
        <is>
          <t>PIS cumulativo</t>
        </is>
      </c>
      <c r="C592" s="6" t="inlineStr">
        <is>
          <t>R$ 1.200.000,00 x 0,65%</t>
        </is>
      </c>
      <c r="D592" s="7" t="n">
        <v>7800</v>
      </c>
      <c r="E592" s="6" t="inlineStr">
        <is>
          <t>Lei 9.715/1998</t>
        </is>
      </c>
    </row>
    <row r="593">
      <c r="A593" s="5" t="inlineStr">
        <is>
          <t>HOSP1-LP</t>
        </is>
      </c>
      <c r="B593" s="6" t="inlineStr">
        <is>
          <t>Cofins cumulativa</t>
        </is>
      </c>
      <c r="C593" s="6" t="inlineStr">
        <is>
          <t>R$ 1.200.000,00 x 3,00%</t>
        </is>
      </c>
      <c r="D593" s="7" t="n">
        <v>36000</v>
      </c>
      <c r="E593" s="6" t="inlineStr">
        <is>
          <t>Lei 9.718/1998</t>
        </is>
      </c>
    </row>
    <row r="594">
      <c r="A594" s="5" t="inlineStr">
        <is>
          <t>HOSP1-LP</t>
        </is>
      </c>
      <c r="B594" s="6" t="inlineStr">
        <is>
          <t>ISS</t>
        </is>
      </c>
      <c r="C594" s="6" t="inlineStr">
        <is>
          <t>R$ 1.200.000,00 x 5,00%</t>
        </is>
      </c>
      <c r="D594" s="7" t="n">
        <v>60000</v>
      </c>
      <c r="E594" s="6" t="inlineStr">
        <is>
          <t>LC 116/2003 e lei municipal</t>
        </is>
      </c>
    </row>
    <row r="595">
      <c r="A595" s="5" t="inlineStr">
        <is>
          <t>HOSP1-LP</t>
        </is>
      </c>
      <c r="B595" s="6" t="inlineStr">
        <is>
          <t>INSS patronal sobre a folha CLT</t>
        </is>
      </c>
      <c r="C595" s="6" t="inlineStr">
        <is>
          <t>R$ 300.000,00 x (20,00% CPP + 2,00% RAT + 5,80% terceiros)</t>
        </is>
      </c>
      <c r="D595" s="7" t="n">
        <v>83400</v>
      </c>
      <c r="E595" s="6" t="inlineStr">
        <is>
          <t>Lei 8.212/1991, art. 22, I e II</t>
        </is>
      </c>
    </row>
    <row r="596">
      <c r="A596" s="5" t="inlineStr">
        <is>
          <t>HOSP1-LP</t>
        </is>
      </c>
      <c r="B596" s="6" t="inlineStr">
        <is>
          <t>INSS patronal sobre o pró-labore</t>
        </is>
      </c>
      <c r="C596" s="6" t="inlineStr">
        <is>
          <t>R$ 60.000,00 x 20,00%</t>
        </is>
      </c>
      <c r="D596" s="7" t="n">
        <v>12000</v>
      </c>
      <c r="E596" s="6" t="inlineStr">
        <is>
          <t>Lei 8.212/1991, art. 22, III</t>
        </is>
      </c>
    </row>
    <row r="597">
      <c r="A597" s="5" t="inlineStr">
        <is>
          <t>HOSP1-LR</t>
        </is>
      </c>
      <c r="B597" s="6" t="inlineStr">
        <is>
          <t>PIS - débito</t>
        </is>
      </c>
      <c r="C597" s="6" t="inlineStr">
        <is>
          <t>R$ 1.200.000,00 x 1,65%</t>
        </is>
      </c>
      <c r="D597" s="7" t="n">
        <v>19800</v>
      </c>
      <c r="E597" s="6" t="inlineStr">
        <is>
          <t>Lei 10.637/2002</t>
        </is>
      </c>
    </row>
    <row r="598">
      <c r="A598" s="5" t="inlineStr">
        <is>
          <t>HOSP1-LR</t>
        </is>
      </c>
      <c r="B598" s="6" t="inlineStr">
        <is>
          <t>PIS - crédito</t>
        </is>
      </c>
      <c r="C598" s="6" t="inlineStr">
        <is>
          <t>(R$ 0,00 compras + R$ 0,00 despesas creditáveis) x 1,65%</t>
        </is>
      </c>
      <c r="D598" s="7" t="n">
        <v>0</v>
      </c>
      <c r="E598" s="6" t="inlineStr">
        <is>
          <t>Lei 10.637/2002, art. 3º</t>
        </is>
      </c>
    </row>
    <row r="599">
      <c r="A599" s="5" t="inlineStr">
        <is>
          <t>HOSP1-LR</t>
        </is>
      </c>
      <c r="B599" s="6" t="inlineStr">
        <is>
          <t>Cofins - débito</t>
        </is>
      </c>
      <c r="C599" s="6" t="inlineStr">
        <is>
          <t>R$ 1.200.000,00 x 7,60%</t>
        </is>
      </c>
      <c r="D599" s="7" t="n">
        <v>91200</v>
      </c>
      <c r="E599" s="6" t="inlineStr">
        <is>
          <t>Lei 10.833/2003</t>
        </is>
      </c>
    </row>
    <row r="600">
      <c r="A600" s="5" t="inlineStr">
        <is>
          <t>HOSP1-LR</t>
        </is>
      </c>
      <c r="B600" s="6" t="inlineStr">
        <is>
          <t>Cofins - crédito</t>
        </is>
      </c>
      <c r="C600" s="6" t="inlineStr">
        <is>
          <t>(R$ 0,00 compras + R$ 0,00 despesas creditáveis) x 7,60%</t>
        </is>
      </c>
      <c r="D600" s="7" t="n">
        <v>0</v>
      </c>
      <c r="E600" s="6" t="inlineStr">
        <is>
          <t>Lei 10.833/2003, art. 3º</t>
        </is>
      </c>
    </row>
    <row r="601">
      <c r="A601" s="5" t="inlineStr">
        <is>
          <t>HOSP1-LR</t>
        </is>
      </c>
      <c r="B601" s="6" t="inlineStr">
        <is>
          <t>ISS</t>
        </is>
      </c>
      <c r="C601" s="6" t="inlineStr">
        <is>
          <t>R$ 1.200.000,00 x 5,00%</t>
        </is>
      </c>
      <c r="D601" s="7" t="n">
        <v>60000</v>
      </c>
      <c r="E601" s="6" t="inlineStr">
        <is>
          <t>LC 116/2003 e lei municipal</t>
        </is>
      </c>
    </row>
    <row r="602">
      <c r="A602" s="5" t="inlineStr">
        <is>
          <t>HOSP1-LR</t>
        </is>
      </c>
      <c r="B602" s="6" t="inlineStr">
        <is>
          <t>INSS patronal sobre a folha CLT</t>
        </is>
      </c>
      <c r="C602" s="6" t="inlineStr">
        <is>
          <t>R$ 300.000,00 x (20,00% CPP + 2,00% RAT + 5,80% terceiros)</t>
        </is>
      </c>
      <c r="D602" s="7" t="n">
        <v>83400</v>
      </c>
      <c r="E602" s="6" t="inlineStr">
        <is>
          <t>Lei 8.212/1991, art. 22, I e II</t>
        </is>
      </c>
    </row>
    <row r="603">
      <c r="A603" s="5" t="inlineStr">
        <is>
          <t>HOSP1-LR</t>
        </is>
      </c>
      <c r="B603" s="6" t="inlineStr">
        <is>
          <t>INSS patronal sobre o pró-labore</t>
        </is>
      </c>
      <c r="C603" s="6" t="inlineStr">
        <is>
          <t>R$ 60.000,00 x 20,00%</t>
        </is>
      </c>
      <c r="D603" s="7" t="n">
        <v>12000</v>
      </c>
      <c r="E603" s="6" t="inlineStr">
        <is>
          <t>Lei 8.212/1991, art. 22, III</t>
        </is>
      </c>
    </row>
    <row r="604">
      <c r="A604" s="5" t="inlineStr">
        <is>
          <t>HOSP1-LR</t>
        </is>
      </c>
      <c r="B604" s="6" t="inlineStr">
        <is>
          <t>Lucro antes do IRPJ/CSLL</t>
        </is>
      </c>
      <c r="C604" s="6" t="inlineStr">
        <is>
          <t>R$ 1.200.000,00 receita - R$ 0,00 compras - R$ 0,00 despesas - R$ 360.000,00 folha e pró-labore - R$ 24.000,00 FGTS - R$ 266.400,00 tributos dedutíveis</t>
        </is>
      </c>
      <c r="D604" s="7" t="n">
        <v>549600</v>
      </c>
      <c r="E604" s="6" t="inlineStr">
        <is>
          <t>Lei 6.404/1976 (DRE)</t>
        </is>
      </c>
    </row>
    <row r="605">
      <c r="A605" s="5" t="inlineStr">
        <is>
          <t>HOSP1-LR</t>
        </is>
      </c>
      <c r="B605" s="6" t="inlineStr">
        <is>
          <t>IRPJ</t>
        </is>
      </c>
      <c r="C605" s="6" t="inlineStr">
        <is>
          <t>R$ 549.600,00 x 15% + 10% sobre o que exceder R$ 240.000,00</t>
        </is>
      </c>
      <c r="D605" s="7" t="n">
        <v>113400</v>
      </c>
      <c r="E605" s="6" t="inlineStr">
        <is>
          <t>Lei 9.249/1995, art. 3º; Lei 9.430/1996, art. 2º</t>
        </is>
      </c>
    </row>
    <row r="606">
      <c r="A606" s="5" t="inlineStr">
        <is>
          <t>HOSP1-LR</t>
        </is>
      </c>
      <c r="B606" s="6" t="inlineStr">
        <is>
          <t>CSLL</t>
        </is>
      </c>
      <c r="C606" s="6" t="inlineStr">
        <is>
          <t>R$ 549.600,00 x 9%</t>
        </is>
      </c>
      <c r="D606" s="7" t="n">
        <v>49464</v>
      </c>
      <c r="E606" s="6" t="inlineStr">
        <is>
          <t>Lei 7.689/1988, art. 3º</t>
        </is>
      </c>
    </row>
    <row r="607">
      <c r="A607" s="5" t="inlineStr">
        <is>
          <t>RG1-LP</t>
        </is>
      </c>
      <c r="B607" s="6" t="inlineStr">
        <is>
          <t>Percentuais de presunção</t>
        </is>
      </c>
      <c r="C607" s="6" t="inlineStr">
        <is>
          <t>Prestação de serviços em geral: IRPJ 32,0%, CSLL 32,0%</t>
        </is>
      </c>
      <c r="D607" s="19" t="n">
        <v>0.32</v>
      </c>
      <c r="E607" s="6" t="inlineStr">
        <is>
          <t>Lei 9.249/1995, art. 15, §1º e art. 20</t>
        </is>
      </c>
    </row>
    <row r="608">
      <c r="A608" s="5" t="inlineStr">
        <is>
          <t>RG1-LP</t>
        </is>
      </c>
      <c r="B608" s="6" t="inlineStr">
        <is>
          <t>Receita para IRPJ e CSLL</t>
        </is>
      </c>
      <c r="C608" s="6" t="inlineStr">
        <is>
          <t>R$ 900.000,00 sem PIS/Cofins, CBS e IBS (e sem o ICMS/ISS já retirado pela transição)</t>
        </is>
      </c>
      <c r="D608" s="7" t="n">
        <v>867150</v>
      </c>
      <c r="E608" s="6" t="inlineStr">
        <is>
          <t>Lei 9.249/1995, art. 15 (receita bruta); IBS e CBS fora da receita bruta é tese, sem decisão judicial</t>
        </is>
      </c>
    </row>
    <row r="609">
      <c r="A609" s="5" t="inlineStr">
        <is>
          <t>RG1-LP</t>
        </is>
      </c>
      <c r="B609" s="6" t="inlineStr">
        <is>
          <t>1º tri - base presumida IRPJ</t>
        </is>
      </c>
      <c r="C609" s="6" t="inlineStr">
        <is>
          <t>R$ 216.787,50 x 32,0%</t>
        </is>
      </c>
      <c r="D609" s="7" t="n">
        <v>69372</v>
      </c>
      <c r="E609" s="6" t="inlineStr">
        <is>
          <t>Lei 9.249/1995, arts. 15 e 20</t>
        </is>
      </c>
    </row>
    <row r="610">
      <c r="A610" s="5" t="inlineStr">
        <is>
          <t>RG1-LP</t>
        </is>
      </c>
      <c r="B610" s="6" t="inlineStr">
        <is>
          <t>1º tri - IRPJ</t>
        </is>
      </c>
      <c r="C610" s="6" t="inlineStr">
        <is>
          <t>R$ 69.372,00 x 15% + adicional 10% sobre o que exceder R$ 60.000,00</t>
        </is>
      </c>
      <c r="D610" s="7" t="n">
        <v>11343</v>
      </c>
      <c r="E610" s="6" t="inlineStr">
        <is>
          <t>Lei 9.430/1996, arts. 3º e 4º</t>
        </is>
      </c>
    </row>
    <row r="611">
      <c r="A611" s="5" t="inlineStr">
        <is>
          <t>RG1-LP</t>
        </is>
      </c>
      <c r="B611" s="6" t="inlineStr">
        <is>
          <t>1º tri - base presumida CSLL</t>
        </is>
      </c>
      <c r="C611" s="6" t="inlineStr">
        <is>
          <t>R$ 216.787,50 x 32,0%</t>
        </is>
      </c>
      <c r="D611" s="7" t="n">
        <v>69372</v>
      </c>
      <c r="E611" s="6" t="inlineStr">
        <is>
          <t>Lei 9.249/1995, arts. 15 e 20</t>
        </is>
      </c>
    </row>
    <row r="612">
      <c r="A612" s="5" t="inlineStr">
        <is>
          <t>RG1-LP</t>
        </is>
      </c>
      <c r="B612" s="6" t="inlineStr">
        <is>
          <t>1º tri - CSLL</t>
        </is>
      </c>
      <c r="C612" s="6" t="inlineStr">
        <is>
          <t>R$ 69.372,00 x 9%</t>
        </is>
      </c>
      <c r="D612" s="7" t="n">
        <v>6243.48</v>
      </c>
      <c r="E612" s="6" t="inlineStr">
        <is>
          <t>Lei 7.689/1988, art. 3º</t>
        </is>
      </c>
    </row>
    <row r="613">
      <c r="A613" s="5" t="inlineStr">
        <is>
          <t>RG1-LP</t>
        </is>
      </c>
      <c r="B613" s="6" t="inlineStr">
        <is>
          <t>2º tri - base presumida IRPJ</t>
        </is>
      </c>
      <c r="C613" s="6" t="inlineStr">
        <is>
          <t>R$ 216.787,50 x 32,0%</t>
        </is>
      </c>
      <c r="D613" s="7" t="n">
        <v>69372</v>
      </c>
      <c r="E613" s="6" t="inlineStr">
        <is>
          <t>Lei 9.249/1995, arts. 15 e 20</t>
        </is>
      </c>
    </row>
    <row r="614">
      <c r="A614" s="5" t="inlineStr">
        <is>
          <t>RG1-LP</t>
        </is>
      </c>
      <c r="B614" s="6" t="inlineStr">
        <is>
          <t>2º tri - IRPJ</t>
        </is>
      </c>
      <c r="C614" s="6" t="inlineStr">
        <is>
          <t>R$ 69.372,00 x 15% + adicional 10% sobre o que exceder R$ 60.000,00</t>
        </is>
      </c>
      <c r="D614" s="7" t="n">
        <v>11343</v>
      </c>
      <c r="E614" s="6" t="inlineStr">
        <is>
          <t>Lei 9.430/1996, arts. 3º e 4º</t>
        </is>
      </c>
    </row>
    <row r="615">
      <c r="A615" s="5" t="inlineStr">
        <is>
          <t>RG1-LP</t>
        </is>
      </c>
      <c r="B615" s="6" t="inlineStr">
        <is>
          <t>2º tri - base presumida CSLL</t>
        </is>
      </c>
      <c r="C615" s="6" t="inlineStr">
        <is>
          <t>R$ 216.787,50 x 32,0%</t>
        </is>
      </c>
      <c r="D615" s="7" t="n">
        <v>69372</v>
      </c>
      <c r="E615" s="6" t="inlineStr">
        <is>
          <t>Lei 9.249/1995, arts. 15 e 20</t>
        </is>
      </c>
    </row>
    <row r="616">
      <c r="A616" s="5" t="inlineStr">
        <is>
          <t>RG1-LP</t>
        </is>
      </c>
      <c r="B616" s="6" t="inlineStr">
        <is>
          <t>2º tri - CSLL</t>
        </is>
      </c>
      <c r="C616" s="6" t="inlineStr">
        <is>
          <t>R$ 69.372,00 x 9%</t>
        </is>
      </c>
      <c r="D616" s="7" t="n">
        <v>6243.48</v>
      </c>
      <c r="E616" s="6" t="inlineStr">
        <is>
          <t>Lei 7.689/1988, art. 3º</t>
        </is>
      </c>
    </row>
    <row r="617">
      <c r="A617" s="5" t="inlineStr">
        <is>
          <t>RG1-LP</t>
        </is>
      </c>
      <c r="B617" s="6" t="inlineStr">
        <is>
          <t>3º tri - base presumida IRPJ</t>
        </is>
      </c>
      <c r="C617" s="6" t="inlineStr">
        <is>
          <t>R$ 216.787,50 x 32,0%</t>
        </is>
      </c>
      <c r="D617" s="7" t="n">
        <v>69372</v>
      </c>
      <c r="E617" s="6" t="inlineStr">
        <is>
          <t>Lei 9.249/1995, arts. 15 e 20</t>
        </is>
      </c>
    </row>
    <row r="618">
      <c r="A618" s="5" t="inlineStr">
        <is>
          <t>RG1-LP</t>
        </is>
      </c>
      <c r="B618" s="6" t="inlineStr">
        <is>
          <t>3º tri - IRPJ</t>
        </is>
      </c>
      <c r="C618" s="6" t="inlineStr">
        <is>
          <t>R$ 69.372,00 x 15% + adicional 10% sobre o que exceder R$ 60.000,00</t>
        </is>
      </c>
      <c r="D618" s="7" t="n">
        <v>11343</v>
      </c>
      <c r="E618" s="6" t="inlineStr">
        <is>
          <t>Lei 9.430/1996, arts. 3º e 4º</t>
        </is>
      </c>
    </row>
    <row r="619">
      <c r="A619" s="5" t="inlineStr">
        <is>
          <t>RG1-LP</t>
        </is>
      </c>
      <c r="B619" s="6" t="inlineStr">
        <is>
          <t>3º tri - base presumida CSLL</t>
        </is>
      </c>
      <c r="C619" s="6" t="inlineStr">
        <is>
          <t>R$ 216.787,50 x 32,0%</t>
        </is>
      </c>
      <c r="D619" s="7" t="n">
        <v>69372</v>
      </c>
      <c r="E619" s="6" t="inlineStr">
        <is>
          <t>Lei 9.249/1995, arts. 15 e 20</t>
        </is>
      </c>
    </row>
    <row r="620">
      <c r="A620" s="5" t="inlineStr">
        <is>
          <t>RG1-LP</t>
        </is>
      </c>
      <c r="B620" s="6" t="inlineStr">
        <is>
          <t>3º tri - CSLL</t>
        </is>
      </c>
      <c r="C620" s="6" t="inlineStr">
        <is>
          <t>R$ 69.372,00 x 9%</t>
        </is>
      </c>
      <c r="D620" s="7" t="n">
        <v>6243.48</v>
      </c>
      <c r="E620" s="6" t="inlineStr">
        <is>
          <t>Lei 7.689/1988, art. 3º</t>
        </is>
      </c>
    </row>
    <row r="621">
      <c r="A621" s="5" t="inlineStr">
        <is>
          <t>RG1-LP</t>
        </is>
      </c>
      <c r="B621" s="6" t="inlineStr">
        <is>
          <t>4º tri - base presumida IRPJ</t>
        </is>
      </c>
      <c r="C621" s="6" t="inlineStr">
        <is>
          <t>R$ 216.787,50 x 32,0%</t>
        </is>
      </c>
      <c r="D621" s="7" t="n">
        <v>69372</v>
      </c>
      <c r="E621" s="6" t="inlineStr">
        <is>
          <t>Lei 9.249/1995, arts. 15 e 20</t>
        </is>
      </c>
    </row>
    <row r="622">
      <c r="A622" s="5" t="inlineStr">
        <is>
          <t>RG1-LP</t>
        </is>
      </c>
      <c r="B622" s="6" t="inlineStr">
        <is>
          <t>4º tri - IRPJ</t>
        </is>
      </c>
      <c r="C622" s="6" t="inlineStr">
        <is>
          <t>R$ 69.372,00 x 15% + adicional 10% sobre o que exceder R$ 60.000,00</t>
        </is>
      </c>
      <c r="D622" s="7" t="n">
        <v>11343</v>
      </c>
      <c r="E622" s="6" t="inlineStr">
        <is>
          <t>Lei 9.430/1996, arts. 3º e 4º</t>
        </is>
      </c>
    </row>
    <row r="623">
      <c r="A623" s="5" t="inlineStr">
        <is>
          <t>RG1-LP</t>
        </is>
      </c>
      <c r="B623" s="6" t="inlineStr">
        <is>
          <t>4º tri - base presumida CSLL</t>
        </is>
      </c>
      <c r="C623" s="6" t="inlineStr">
        <is>
          <t>R$ 216.787,50 x 32,0%</t>
        </is>
      </c>
      <c r="D623" s="7" t="n">
        <v>69372</v>
      </c>
      <c r="E623" s="6" t="inlineStr">
        <is>
          <t>Lei 9.249/1995, arts. 15 e 20</t>
        </is>
      </c>
    </row>
    <row r="624">
      <c r="A624" s="5" t="inlineStr">
        <is>
          <t>RG1-LP</t>
        </is>
      </c>
      <c r="B624" s="6" t="inlineStr">
        <is>
          <t>4º tri - CSLL</t>
        </is>
      </c>
      <c r="C624" s="6" t="inlineStr">
        <is>
          <t>R$ 69.372,00 x 9%</t>
        </is>
      </c>
      <c r="D624" s="7" t="n">
        <v>6243.48</v>
      </c>
      <c r="E624" s="6" t="inlineStr">
        <is>
          <t>Lei 7.689/1988, art. 3º</t>
        </is>
      </c>
    </row>
    <row r="625">
      <c r="A625" s="5" t="inlineStr">
        <is>
          <t>RG1-LP</t>
        </is>
      </c>
      <c r="B625" s="6" t="inlineStr">
        <is>
          <t>CBS</t>
        </is>
      </c>
      <c r="C625" s="6" t="inlineStr">
        <is>
          <t>R$ 822.150,00 x 8,700% - crédito R$ 0,00 x 8,700%</t>
        </is>
      </c>
      <c r="D625" s="7" t="n">
        <v>71527.05</v>
      </c>
      <c r="E625" s="6" t="inlineStr">
        <is>
          <t>EC 132/2023 (ADCT, arts. 125 a 133); LC 214/2025</t>
        </is>
      </c>
    </row>
    <row r="626">
      <c r="A626" s="5" t="inlineStr">
        <is>
          <t>RG1-LP</t>
        </is>
      </c>
      <c r="B626" s="6" t="inlineStr">
        <is>
          <t>IBS</t>
        </is>
      </c>
      <c r="C626" s="6" t="inlineStr">
        <is>
          <t>R$ 822.150,00 x 0,100% - crédito R$ 0,00 x 0,100%</t>
        </is>
      </c>
      <c r="D626" s="7" t="n">
        <v>822.15</v>
      </c>
      <c r="E626" s="6" t="inlineStr">
        <is>
          <t>EC 132/2023 (ADCT, arts. 125 a 133); LC 214/2025</t>
        </is>
      </c>
    </row>
    <row r="627">
      <c r="A627" s="5" t="inlineStr">
        <is>
          <t>RG1-LP</t>
        </is>
      </c>
      <c r="B627" s="6" t="inlineStr">
        <is>
          <t>Vendas sem tributos sobre o consumo</t>
        </is>
      </c>
      <c r="C627" s="6" t="inlineStr">
        <is>
          <t>R$ 900.000,00 sem o PIS/Cofins atual e o ICMS/ISS embutidos no preço</t>
        </is>
      </c>
      <c r="D627" s="7" t="n">
        <v>822150</v>
      </c>
      <c r="E627" s="6" t="inlineStr">
        <is>
          <t>EC 132/2023, ADCT arts. 125 a 133; LC 214/2025 (alíquotas de referência ainda estimadas)</t>
        </is>
      </c>
    </row>
    <row r="628">
      <c r="A628" s="5" t="inlineStr">
        <is>
          <t>RG1-LP</t>
        </is>
      </c>
      <c r="B628" s="6" t="inlineStr">
        <is>
          <t>ISS</t>
        </is>
      </c>
      <c r="C628" s="6" t="inlineStr">
        <is>
          <t>R$ 900.000,00 x 5,00%</t>
        </is>
      </c>
      <c r="D628" s="7" t="n">
        <v>45000</v>
      </c>
      <c r="E628" s="6" t="inlineStr">
        <is>
          <t>LC 116/2003 e lei municipal</t>
        </is>
      </c>
    </row>
    <row r="629">
      <c r="A629" s="5" t="inlineStr">
        <is>
          <t>RG1-LP</t>
        </is>
      </c>
      <c r="B629" s="6" t="inlineStr">
        <is>
          <t>INSS patronal sobre a folha CLT</t>
        </is>
      </c>
      <c r="C629" s="6" t="inlineStr">
        <is>
          <t>R$ 200.000,00 x (20,00% CPP + 2,00% RAT + 5,80% terceiros)</t>
        </is>
      </c>
      <c r="D629" s="7" t="n">
        <v>55600</v>
      </c>
      <c r="E629" s="6" t="inlineStr">
        <is>
          <t>Lei 8.212/1991, art. 22, I e II</t>
        </is>
      </c>
    </row>
    <row r="630">
      <c r="A630" s="5" t="inlineStr">
        <is>
          <t>RG1-LP</t>
        </is>
      </c>
      <c r="B630" s="6" t="inlineStr">
        <is>
          <t>INSS patronal sobre o pró-labore</t>
        </is>
      </c>
      <c r="C630" s="6" t="inlineStr">
        <is>
          <t>R$ 60.000,00 x 20,00%</t>
        </is>
      </c>
      <c r="D630" s="7" t="n">
        <v>12000</v>
      </c>
      <c r="E630" s="6" t="inlineStr">
        <is>
          <t>Lei 8.212/1991, art. 22, III</t>
        </is>
      </c>
    </row>
    <row r="631">
      <c r="A631" s="5" t="inlineStr">
        <is>
          <t>RG1-LR</t>
        </is>
      </c>
      <c r="B631" s="6" t="inlineStr">
        <is>
          <t>CBS</t>
        </is>
      </c>
      <c r="C631" s="6" t="inlineStr">
        <is>
          <t>R$ 771.750,00 x 8,700% - crédito R$ 0,00 x 8,700%</t>
        </is>
      </c>
      <c r="D631" s="7" t="n">
        <v>67142.25</v>
      </c>
      <c r="E631" s="6" t="inlineStr">
        <is>
          <t>EC 132/2023 (ADCT, arts. 125 a 133); LC 214/2025</t>
        </is>
      </c>
    </row>
    <row r="632">
      <c r="A632" s="5" t="inlineStr">
        <is>
          <t>RG1-LR</t>
        </is>
      </c>
      <c r="B632" s="6" t="inlineStr">
        <is>
          <t>IBS</t>
        </is>
      </c>
      <c r="C632" s="6" t="inlineStr">
        <is>
          <t>R$ 771.750,00 x 0,100% - crédito R$ 0,00 x 0,100%</t>
        </is>
      </c>
      <c r="D632" s="7" t="n">
        <v>771.75</v>
      </c>
      <c r="E632" s="6" t="inlineStr">
        <is>
          <t>EC 132/2023 (ADCT, arts. 125 a 133); LC 214/2025</t>
        </is>
      </c>
    </row>
    <row r="633">
      <c r="A633" s="5" t="inlineStr">
        <is>
          <t>RG1-LR</t>
        </is>
      </c>
      <c r="B633" s="6" t="inlineStr">
        <is>
          <t>Vendas sem tributos sobre o consumo</t>
        </is>
      </c>
      <c r="C633" s="6" t="inlineStr">
        <is>
          <t>R$ 900.000,00 sem o PIS/Cofins atual e o ICMS/ISS embutidos no preço</t>
        </is>
      </c>
      <c r="D633" s="7" t="n">
        <v>771750</v>
      </c>
      <c r="E633" s="6" t="inlineStr">
        <is>
          <t>EC 132/2023, ADCT arts. 125 a 133; LC 214/2025 (alíquotas de referência ainda estimadas)</t>
        </is>
      </c>
    </row>
    <row r="634">
      <c r="A634" s="5" t="inlineStr">
        <is>
          <t>RG1-LR</t>
        </is>
      </c>
      <c r="B634" s="6" t="inlineStr">
        <is>
          <t>Receita para o lucro</t>
        </is>
      </c>
      <c r="C634" s="6" t="inlineStr">
        <is>
          <t>R$ 900.000,00 sem PIS/Cofins, CBS e IBS (e sem o ICMS/ISS já retirado pela transição)</t>
        </is>
      </c>
      <c r="D634" s="7" t="n">
        <v>816750</v>
      </c>
      <c r="E634" s="6" t="inlineStr">
        <is>
          <t>Lei 9.249/1995, art. 15 (receita bruta); IBS e CBS fora da receita bruta é tese, sem decisão judicial</t>
        </is>
      </c>
    </row>
    <row r="635">
      <c r="A635" s="5" t="inlineStr">
        <is>
          <t>RG1-LR</t>
        </is>
      </c>
      <c r="B635" s="6" t="inlineStr">
        <is>
          <t>ISS</t>
        </is>
      </c>
      <c r="C635" s="6" t="inlineStr">
        <is>
          <t>R$ 900.000,00 x 5,00%</t>
        </is>
      </c>
      <c r="D635" s="7" t="n">
        <v>45000</v>
      </c>
      <c r="E635" s="6" t="inlineStr">
        <is>
          <t>LC 116/2003 e lei municipal</t>
        </is>
      </c>
    </row>
    <row r="636">
      <c r="A636" s="5" t="inlineStr">
        <is>
          <t>RG1-LR</t>
        </is>
      </c>
      <c r="B636" s="6" t="inlineStr">
        <is>
          <t>INSS patronal sobre a folha CLT</t>
        </is>
      </c>
      <c r="C636" s="6" t="inlineStr">
        <is>
          <t>R$ 200.000,00 x (20,00% CPP + 2,00% RAT + 5,80% terceiros)</t>
        </is>
      </c>
      <c r="D636" s="7" t="n">
        <v>55600</v>
      </c>
      <c r="E636" s="6" t="inlineStr">
        <is>
          <t>Lei 8.212/1991, art. 22, I e II</t>
        </is>
      </c>
    </row>
    <row r="637">
      <c r="A637" s="5" t="inlineStr">
        <is>
          <t>RG1-LR</t>
        </is>
      </c>
      <c r="B637" s="6" t="inlineStr">
        <is>
          <t>INSS patronal sobre o pró-labore</t>
        </is>
      </c>
      <c r="C637" s="6" t="inlineStr">
        <is>
          <t>R$ 60.000,00 x 20,00%</t>
        </is>
      </c>
      <c r="D637" s="7" t="n">
        <v>12000</v>
      </c>
      <c r="E637" s="6" t="inlineStr">
        <is>
          <t>Lei 8.212/1991, art. 22, III</t>
        </is>
      </c>
    </row>
    <row r="638">
      <c r="A638" s="5" t="inlineStr">
        <is>
          <t>RG1-LR</t>
        </is>
      </c>
      <c r="B638" s="6" t="inlineStr">
        <is>
          <t>Lucro antes do IRPJ/CSLL</t>
        </is>
      </c>
      <c r="C638" s="6" t="inlineStr">
        <is>
          <t>R$ 816.750,00 receita - R$ 0,00 compras - R$ 0,00 despesas - R$ 260.000,00 folha e pró-labore - R$ 16.000,00 FGTS - R$ 112.600,00 tributos dedutíveis + R$ 0,00 de crédito de CBS e IBS</t>
        </is>
      </c>
      <c r="D638" s="7" t="n">
        <v>428150</v>
      </c>
      <c r="E638" s="6" t="inlineStr">
        <is>
          <t>Lei 6.404/1976 (DRE)</t>
        </is>
      </c>
    </row>
    <row r="639">
      <c r="A639" s="5" t="inlineStr">
        <is>
          <t>RG1-LR</t>
        </is>
      </c>
      <c r="B639" s="6" t="inlineStr">
        <is>
          <t>IRPJ</t>
        </is>
      </c>
      <c r="C639" s="6" t="inlineStr">
        <is>
          <t>R$ 428.150,00 x 15% + 10% sobre o que exceder R$ 240.000,00</t>
        </is>
      </c>
      <c r="D639" s="7" t="n">
        <v>83037.5</v>
      </c>
      <c r="E639" s="6" t="inlineStr">
        <is>
          <t>Lei 9.249/1995, art. 3º; Lei 9.430/1996, art. 2º</t>
        </is>
      </c>
    </row>
    <row r="640">
      <c r="A640" s="5" t="inlineStr">
        <is>
          <t>RG1-LR</t>
        </is>
      </c>
      <c r="B640" s="6" t="inlineStr">
        <is>
          <t>CSLL</t>
        </is>
      </c>
      <c r="C640" s="6" t="inlineStr">
        <is>
          <t>R$ 428.150,00 x 9%</t>
        </is>
      </c>
      <c r="D640" s="7" t="n">
        <v>38533.5</v>
      </c>
      <c r="E640" s="6" t="inlineStr">
        <is>
          <t>Lei 7.689/1988, art. 3º</t>
        </is>
      </c>
    </row>
    <row r="641">
      <c r="A641" s="5" t="inlineStr">
        <is>
          <t>RG2-LP</t>
        </is>
      </c>
      <c r="B641" s="6" t="inlineStr">
        <is>
          <t>Percentuais de presunção</t>
        </is>
      </c>
      <c r="C641" s="6" t="inlineStr">
        <is>
          <t>Revenda de mercadorias: IRPJ 8,0%, CSLL 12,0%</t>
        </is>
      </c>
      <c r="D641" s="19" t="n">
        <v>0.08</v>
      </c>
      <c r="E641" s="6" t="inlineStr">
        <is>
          <t>Lei 9.249/1995, art. 15, §1º e art. 20</t>
        </is>
      </c>
    </row>
    <row r="642">
      <c r="A642" s="5" t="inlineStr">
        <is>
          <t>RG2-LP</t>
        </is>
      </c>
      <c r="B642" s="6" t="inlineStr">
        <is>
          <t>Receita para IRPJ e CSLL</t>
        </is>
      </c>
      <c r="C642" s="6" t="inlineStr">
        <is>
          <t>R$ 1.200.000,00 sem PIS/Cofins, CBS e IBS (e sem o ICMS/ISS já retirado pela transição)</t>
        </is>
      </c>
      <c r="D642" s="7" t="n">
        <v>1156200</v>
      </c>
      <c r="E642" s="6" t="inlineStr">
        <is>
          <t>Lei 9.249/1995, art. 15 (receita bruta); IBS e CBS fora da receita bruta é tese, sem decisão judicial</t>
        </is>
      </c>
    </row>
    <row r="643">
      <c r="A643" s="5" t="inlineStr">
        <is>
          <t>RG2-LP</t>
        </is>
      </c>
      <c r="B643" s="6" t="inlineStr">
        <is>
          <t>1º tri - base presumida IRPJ</t>
        </is>
      </c>
      <c r="C643" s="6" t="inlineStr">
        <is>
          <t>R$ 289.050,00 x 8,0%</t>
        </is>
      </c>
      <c r="D643" s="7" t="n">
        <v>23124</v>
      </c>
      <c r="E643" s="6" t="inlineStr">
        <is>
          <t>Lei 9.249/1995, arts. 15 e 20</t>
        </is>
      </c>
    </row>
    <row r="644">
      <c r="A644" s="5" t="inlineStr">
        <is>
          <t>RG2-LP</t>
        </is>
      </c>
      <c r="B644" s="6" t="inlineStr">
        <is>
          <t>1º tri - IRPJ</t>
        </is>
      </c>
      <c r="C644" s="6" t="inlineStr">
        <is>
          <t>R$ 23.124,00 x 15% + adicional 10% sobre o que exceder R$ 60.000,00</t>
        </is>
      </c>
      <c r="D644" s="7" t="n">
        <v>3468.6</v>
      </c>
      <c r="E644" s="6" t="inlineStr">
        <is>
          <t>Lei 9.430/1996, arts. 3º e 4º</t>
        </is>
      </c>
    </row>
    <row r="645">
      <c r="A645" s="5" t="inlineStr">
        <is>
          <t>RG2-LP</t>
        </is>
      </c>
      <c r="B645" s="6" t="inlineStr">
        <is>
          <t>1º tri - base presumida CSLL</t>
        </is>
      </c>
      <c r="C645" s="6" t="inlineStr">
        <is>
          <t>R$ 289.050,00 x 12,0%</t>
        </is>
      </c>
      <c r="D645" s="7" t="n">
        <v>34686</v>
      </c>
      <c r="E645" s="6" t="inlineStr">
        <is>
          <t>Lei 9.249/1995, arts. 15 e 20</t>
        </is>
      </c>
    </row>
    <row r="646">
      <c r="A646" s="5" t="inlineStr">
        <is>
          <t>RG2-LP</t>
        </is>
      </c>
      <c r="B646" s="6" t="inlineStr">
        <is>
          <t>1º tri - CSLL</t>
        </is>
      </c>
      <c r="C646" s="6" t="inlineStr">
        <is>
          <t>R$ 34.686,00 x 9%</t>
        </is>
      </c>
      <c r="D646" s="7" t="n">
        <v>3121.74</v>
      </c>
      <c r="E646" s="6" t="inlineStr">
        <is>
          <t>Lei 7.689/1988, art. 3º</t>
        </is>
      </c>
    </row>
    <row r="647">
      <c r="A647" s="5" t="inlineStr">
        <is>
          <t>RG2-LP</t>
        </is>
      </c>
      <c r="B647" s="6" t="inlineStr">
        <is>
          <t>2º tri - base presumida IRPJ</t>
        </is>
      </c>
      <c r="C647" s="6" t="inlineStr">
        <is>
          <t>R$ 289.050,00 x 8,0%</t>
        </is>
      </c>
      <c r="D647" s="7" t="n">
        <v>23124</v>
      </c>
      <c r="E647" s="6" t="inlineStr">
        <is>
          <t>Lei 9.249/1995, arts. 15 e 20</t>
        </is>
      </c>
    </row>
    <row r="648">
      <c r="A648" s="5" t="inlineStr">
        <is>
          <t>RG2-LP</t>
        </is>
      </c>
      <c r="B648" s="6" t="inlineStr">
        <is>
          <t>2º tri - IRPJ</t>
        </is>
      </c>
      <c r="C648" s="6" t="inlineStr">
        <is>
          <t>R$ 23.124,00 x 15% + adicional 10% sobre o que exceder R$ 60.000,00</t>
        </is>
      </c>
      <c r="D648" s="7" t="n">
        <v>3468.6</v>
      </c>
      <c r="E648" s="6" t="inlineStr">
        <is>
          <t>Lei 9.430/1996, arts. 3º e 4º</t>
        </is>
      </c>
    </row>
    <row r="649">
      <c r="A649" s="5" t="inlineStr">
        <is>
          <t>RG2-LP</t>
        </is>
      </c>
      <c r="B649" s="6" t="inlineStr">
        <is>
          <t>2º tri - base presumida CSLL</t>
        </is>
      </c>
      <c r="C649" s="6" t="inlineStr">
        <is>
          <t>R$ 289.050,00 x 12,0%</t>
        </is>
      </c>
      <c r="D649" s="7" t="n">
        <v>34686</v>
      </c>
      <c r="E649" s="6" t="inlineStr">
        <is>
          <t>Lei 9.249/1995, arts. 15 e 20</t>
        </is>
      </c>
    </row>
    <row r="650">
      <c r="A650" s="5" t="inlineStr">
        <is>
          <t>RG2-LP</t>
        </is>
      </c>
      <c r="B650" s="6" t="inlineStr">
        <is>
          <t>2º tri - CSLL</t>
        </is>
      </c>
      <c r="C650" s="6" t="inlineStr">
        <is>
          <t>R$ 34.686,00 x 9%</t>
        </is>
      </c>
      <c r="D650" s="7" t="n">
        <v>3121.74</v>
      </c>
      <c r="E650" s="6" t="inlineStr">
        <is>
          <t>Lei 7.689/1988, art. 3º</t>
        </is>
      </c>
    </row>
    <row r="651">
      <c r="A651" s="5" t="inlineStr">
        <is>
          <t>RG2-LP</t>
        </is>
      </c>
      <c r="B651" s="6" t="inlineStr">
        <is>
          <t>3º tri - base presumida IRPJ</t>
        </is>
      </c>
      <c r="C651" s="6" t="inlineStr">
        <is>
          <t>R$ 289.050,00 x 8,0%</t>
        </is>
      </c>
      <c r="D651" s="7" t="n">
        <v>23124</v>
      </c>
      <c r="E651" s="6" t="inlineStr">
        <is>
          <t>Lei 9.249/1995, arts. 15 e 20</t>
        </is>
      </c>
    </row>
    <row r="652">
      <c r="A652" s="5" t="inlineStr">
        <is>
          <t>RG2-LP</t>
        </is>
      </c>
      <c r="B652" s="6" t="inlineStr">
        <is>
          <t>3º tri - IRPJ</t>
        </is>
      </c>
      <c r="C652" s="6" t="inlineStr">
        <is>
          <t>R$ 23.124,00 x 15% + adicional 10% sobre o que exceder R$ 60.000,00</t>
        </is>
      </c>
      <c r="D652" s="7" t="n">
        <v>3468.6</v>
      </c>
      <c r="E652" s="6" t="inlineStr">
        <is>
          <t>Lei 9.430/1996, arts. 3º e 4º</t>
        </is>
      </c>
    </row>
    <row r="653">
      <c r="A653" s="5" t="inlineStr">
        <is>
          <t>RG2-LP</t>
        </is>
      </c>
      <c r="B653" s="6" t="inlineStr">
        <is>
          <t>3º tri - base presumida CSLL</t>
        </is>
      </c>
      <c r="C653" s="6" t="inlineStr">
        <is>
          <t>R$ 289.050,00 x 12,0%</t>
        </is>
      </c>
      <c r="D653" s="7" t="n">
        <v>34686</v>
      </c>
      <c r="E653" s="6" t="inlineStr">
        <is>
          <t>Lei 9.249/1995, arts. 15 e 20</t>
        </is>
      </c>
    </row>
    <row r="654">
      <c r="A654" s="5" t="inlineStr">
        <is>
          <t>RG2-LP</t>
        </is>
      </c>
      <c r="B654" s="6" t="inlineStr">
        <is>
          <t>3º tri - CSLL</t>
        </is>
      </c>
      <c r="C654" s="6" t="inlineStr">
        <is>
          <t>R$ 34.686,00 x 9%</t>
        </is>
      </c>
      <c r="D654" s="7" t="n">
        <v>3121.74</v>
      </c>
      <c r="E654" s="6" t="inlineStr">
        <is>
          <t>Lei 7.689/1988, art. 3º</t>
        </is>
      </c>
    </row>
    <row r="655">
      <c r="A655" s="5" t="inlineStr">
        <is>
          <t>RG2-LP</t>
        </is>
      </c>
      <c r="B655" s="6" t="inlineStr">
        <is>
          <t>4º tri - base presumida IRPJ</t>
        </is>
      </c>
      <c r="C655" s="6" t="inlineStr">
        <is>
          <t>R$ 289.050,00 x 8,0%</t>
        </is>
      </c>
      <c r="D655" s="7" t="n">
        <v>23124</v>
      </c>
      <c r="E655" s="6" t="inlineStr">
        <is>
          <t>Lei 9.249/1995, arts. 15 e 20</t>
        </is>
      </c>
    </row>
    <row r="656">
      <c r="A656" s="5" t="inlineStr">
        <is>
          <t>RG2-LP</t>
        </is>
      </c>
      <c r="B656" s="6" t="inlineStr">
        <is>
          <t>4º tri - IRPJ</t>
        </is>
      </c>
      <c r="C656" s="6" t="inlineStr">
        <is>
          <t>R$ 23.124,00 x 15% + adicional 10% sobre o que exceder R$ 60.000,00</t>
        </is>
      </c>
      <c r="D656" s="7" t="n">
        <v>3468.6</v>
      </c>
      <c r="E656" s="6" t="inlineStr">
        <is>
          <t>Lei 9.430/1996, arts. 3º e 4º</t>
        </is>
      </c>
    </row>
    <row r="657">
      <c r="A657" s="5" t="inlineStr">
        <is>
          <t>RG2-LP</t>
        </is>
      </c>
      <c r="B657" s="6" t="inlineStr">
        <is>
          <t>4º tri - base presumida CSLL</t>
        </is>
      </c>
      <c r="C657" s="6" t="inlineStr">
        <is>
          <t>R$ 289.050,00 x 12,0%</t>
        </is>
      </c>
      <c r="D657" s="7" t="n">
        <v>34686</v>
      </c>
      <c r="E657" s="6" t="inlineStr">
        <is>
          <t>Lei 9.249/1995, arts. 15 e 20</t>
        </is>
      </c>
    </row>
    <row r="658">
      <c r="A658" s="5" t="inlineStr">
        <is>
          <t>RG2-LP</t>
        </is>
      </c>
      <c r="B658" s="6" t="inlineStr">
        <is>
          <t>4º tri - CSLL</t>
        </is>
      </c>
      <c r="C658" s="6" t="inlineStr">
        <is>
          <t>R$ 34.686,00 x 9%</t>
        </is>
      </c>
      <c r="D658" s="7" t="n">
        <v>3121.74</v>
      </c>
      <c r="E658" s="6" t="inlineStr">
        <is>
          <t>Lei 7.689/1988, art. 3º</t>
        </is>
      </c>
    </row>
    <row r="659">
      <c r="A659" s="5" t="inlineStr">
        <is>
          <t>RG2-LP</t>
        </is>
      </c>
      <c r="B659" s="6" t="inlineStr">
        <is>
          <t>CBS</t>
        </is>
      </c>
      <c r="C659" s="6" t="inlineStr">
        <is>
          <t>R$ 940.200,00 x 8,700% - crédito R$ 291.000,00 x 8,700%</t>
        </is>
      </c>
      <c r="D659" s="7" t="n">
        <v>56480.4</v>
      </c>
      <c r="E659" s="6" t="inlineStr">
        <is>
          <t>EC 132/2023 (ADCT, arts. 125 a 133); LC 214/2025</t>
        </is>
      </c>
    </row>
    <row r="660">
      <c r="A660" s="5" t="inlineStr">
        <is>
          <t>RG2-LP</t>
        </is>
      </c>
      <c r="B660" s="6" t="inlineStr">
        <is>
          <t>IBS</t>
        </is>
      </c>
      <c r="C660" s="6" t="inlineStr">
        <is>
          <t>R$ 940.200,00 x 0,100% - crédito R$ 291.000,00 x 0,100%</t>
        </is>
      </c>
      <c r="D660" s="7" t="n">
        <v>649.2</v>
      </c>
      <c r="E660" s="6" t="inlineStr">
        <is>
          <t>EC 132/2023 (ADCT, arts. 125 a 133); LC 214/2025</t>
        </is>
      </c>
    </row>
    <row r="661">
      <c r="A661" s="5" t="inlineStr">
        <is>
          <t>RG2-LP</t>
        </is>
      </c>
      <c r="B661" s="6" t="inlineStr">
        <is>
          <t>Vendas sem tributos sobre o consumo</t>
        </is>
      </c>
      <c r="C661" s="6" t="inlineStr">
        <is>
          <t>R$ 1.200.000,00 sem o PIS/Cofins atual e o ICMS/ISS embutidos no preço</t>
        </is>
      </c>
      <c r="D661" s="7" t="n">
        <v>940200</v>
      </c>
      <c r="E661" s="6" t="inlineStr">
        <is>
          <t>EC 132/2023, ADCT arts. 125 a 133; LC 214/2025 (alíquotas de referência ainda estimadas)</t>
        </is>
      </c>
    </row>
    <row r="662">
      <c r="A662" s="5" t="inlineStr">
        <is>
          <t>RG2-LP</t>
        </is>
      </c>
      <c r="B662" s="6" t="inlineStr">
        <is>
          <t>ICMS - débito nas vendas</t>
        </is>
      </c>
      <c r="C662" s="6" t="inlineStr">
        <is>
          <t>R$ 1.200.000,00 x 18,00%</t>
        </is>
      </c>
      <c r="D662" s="7" t="n">
        <v>216000</v>
      </c>
      <c r="E662" s="6" t="inlineStr">
        <is>
          <t>LC 87/1996 e legislação estadual</t>
        </is>
      </c>
    </row>
    <row r="663">
      <c r="A663" s="5" t="inlineStr">
        <is>
          <t>RG2-LP</t>
        </is>
      </c>
      <c r="B663" s="6" t="inlineStr">
        <is>
          <t>ICMS - crédito nas compras</t>
        </is>
      </c>
      <c r="C663" s="6" t="inlineStr">
        <is>
          <t>R$ 400.000,00 x 18,00%</t>
        </is>
      </c>
      <c r="D663" s="7" t="n">
        <v>72000</v>
      </c>
      <c r="E663" s="6" t="inlineStr">
        <is>
          <t>LC 87/1996, art. 20 (não cumulatividade)</t>
        </is>
      </c>
    </row>
    <row r="664">
      <c r="A664" s="5" t="inlineStr">
        <is>
          <t>RG2-LP</t>
        </is>
      </c>
      <c r="B664" s="6" t="inlineStr">
        <is>
          <t>ICMS a recolher</t>
        </is>
      </c>
      <c r="C664" s="6" t="inlineStr">
        <is>
          <t>máx(0; débito - crédito)</t>
        </is>
      </c>
      <c r="D664" s="7" t="n">
        <v>144000</v>
      </c>
      <c r="E664" s="6" t="inlineStr"/>
    </row>
    <row r="665">
      <c r="A665" s="5" t="inlineStr">
        <is>
          <t>RG2-LP</t>
        </is>
      </c>
      <c r="B665" s="6" t="inlineStr">
        <is>
          <t>INSS patronal sobre a folha CLT</t>
        </is>
      </c>
      <c r="C665" s="6" t="inlineStr">
        <is>
          <t>R$ 120.000,00 x (20,00% CPP + 2,00% RAT + 5,80% terceiros)</t>
        </is>
      </c>
      <c r="D665" s="7" t="n">
        <v>33360</v>
      </c>
      <c r="E665" s="6" t="inlineStr">
        <is>
          <t>Lei 8.212/1991, art. 22, I e II</t>
        </is>
      </c>
    </row>
    <row r="666">
      <c r="A666" s="5" t="inlineStr">
        <is>
          <t>RG2-LP</t>
        </is>
      </c>
      <c r="B666" s="6" t="inlineStr">
        <is>
          <t>INSS patronal sobre o pró-labore</t>
        </is>
      </c>
      <c r="C666" s="6" t="inlineStr">
        <is>
          <t>R$ 60.000,00 x 20,00%</t>
        </is>
      </c>
      <c r="D666" s="7" t="n">
        <v>12000</v>
      </c>
      <c r="E666" s="6" t="inlineStr">
        <is>
          <t>Lei 8.212/1991, art. 22, III</t>
        </is>
      </c>
    </row>
    <row r="667">
      <c r="A667" s="5" t="inlineStr">
        <is>
          <t>RG2-LR</t>
        </is>
      </c>
      <c r="B667" s="6" t="inlineStr">
        <is>
          <t>CBS</t>
        </is>
      </c>
      <c r="C667" s="6" t="inlineStr">
        <is>
          <t>R$ 873.000,00 x 8,700% - crédito R$ 291.000,00 x 8,700%</t>
        </is>
      </c>
      <c r="D667" s="7" t="n">
        <v>50634</v>
      </c>
      <c r="E667" s="6" t="inlineStr">
        <is>
          <t>EC 132/2023 (ADCT, arts. 125 a 133); LC 214/2025</t>
        </is>
      </c>
    </row>
    <row r="668">
      <c r="A668" s="5" t="inlineStr">
        <is>
          <t>RG2-LR</t>
        </is>
      </c>
      <c r="B668" s="6" t="inlineStr">
        <is>
          <t>IBS</t>
        </is>
      </c>
      <c r="C668" s="6" t="inlineStr">
        <is>
          <t>R$ 873.000,00 x 0,100% - crédito R$ 291.000,00 x 0,100%</t>
        </is>
      </c>
      <c r="D668" s="7" t="n">
        <v>582</v>
      </c>
      <c r="E668" s="6" t="inlineStr">
        <is>
          <t>EC 132/2023 (ADCT, arts. 125 a 133); LC 214/2025</t>
        </is>
      </c>
    </row>
    <row r="669">
      <c r="A669" s="5" t="inlineStr">
        <is>
          <t>RG2-LR</t>
        </is>
      </c>
      <c r="B669" s="6" t="inlineStr">
        <is>
          <t>Vendas sem tributos sobre o consumo</t>
        </is>
      </c>
      <c r="C669" s="6" t="inlineStr">
        <is>
          <t>R$ 1.200.000,00 sem o PIS/Cofins atual e o ICMS/ISS embutidos no preço</t>
        </is>
      </c>
      <c r="D669" s="7" t="n">
        <v>873000</v>
      </c>
      <c r="E669" s="6" t="inlineStr">
        <is>
          <t>EC 132/2023, ADCT arts. 125 a 133; LC 214/2025 (alíquotas de referência ainda estimadas)</t>
        </is>
      </c>
    </row>
    <row r="670">
      <c r="A670" s="5" t="inlineStr">
        <is>
          <t>RG2-LR</t>
        </is>
      </c>
      <c r="B670" s="6" t="inlineStr">
        <is>
          <t>Receita para o lucro</t>
        </is>
      </c>
      <c r="C670" s="6" t="inlineStr">
        <is>
          <t>R$ 1.200.000,00 sem PIS/Cofins, CBS e IBS (e sem o ICMS/ISS já retirado pela transição)</t>
        </is>
      </c>
      <c r="D670" s="7" t="n">
        <v>1089000</v>
      </c>
      <c r="E670" s="6" t="inlineStr">
        <is>
          <t>Lei 9.249/1995, art. 15 (receita bruta); IBS e CBS fora da receita bruta é tese, sem decisão judicial</t>
        </is>
      </c>
    </row>
    <row r="671">
      <c r="A671" s="5" t="inlineStr">
        <is>
          <t>RG2-LR</t>
        </is>
      </c>
      <c r="B671" s="6" t="inlineStr">
        <is>
          <t>ICMS - débito nas vendas</t>
        </is>
      </c>
      <c r="C671" s="6" t="inlineStr">
        <is>
          <t>R$ 1.200.000,00 x 18,00%</t>
        </is>
      </c>
      <c r="D671" s="7" t="n">
        <v>216000</v>
      </c>
      <c r="E671" s="6" t="inlineStr">
        <is>
          <t>LC 87/1996 e legislação estadual</t>
        </is>
      </c>
    </row>
    <row r="672">
      <c r="A672" s="5" t="inlineStr">
        <is>
          <t>RG2-LR</t>
        </is>
      </c>
      <c r="B672" s="6" t="inlineStr">
        <is>
          <t>ICMS - crédito nas compras</t>
        </is>
      </c>
      <c r="C672" s="6" t="inlineStr">
        <is>
          <t>R$ 400.000,00 x 18,00%</t>
        </is>
      </c>
      <c r="D672" s="7" t="n">
        <v>72000</v>
      </c>
      <c r="E672" s="6" t="inlineStr">
        <is>
          <t>LC 87/1996, art. 20 (não cumulatividade)</t>
        </is>
      </c>
    </row>
    <row r="673">
      <c r="A673" s="5" t="inlineStr">
        <is>
          <t>RG2-LR</t>
        </is>
      </c>
      <c r="B673" s="6" t="inlineStr">
        <is>
          <t>ICMS a recolher</t>
        </is>
      </c>
      <c r="C673" s="6" t="inlineStr">
        <is>
          <t>máx(0; débito - crédito)</t>
        </is>
      </c>
      <c r="D673" s="7" t="n">
        <v>144000</v>
      </c>
      <c r="E673" s="6" t="inlineStr"/>
    </row>
    <row r="674">
      <c r="A674" s="5" t="inlineStr">
        <is>
          <t>RG2-LR</t>
        </is>
      </c>
      <c r="B674" s="6" t="inlineStr">
        <is>
          <t>INSS patronal sobre a folha CLT</t>
        </is>
      </c>
      <c r="C674" s="6" t="inlineStr">
        <is>
          <t>R$ 120.000,00 x (20,00% CPP + 2,00% RAT + 5,80% terceiros)</t>
        </is>
      </c>
      <c r="D674" s="7" t="n">
        <v>33360</v>
      </c>
      <c r="E674" s="6" t="inlineStr">
        <is>
          <t>Lei 8.212/1991, art. 22, I e II</t>
        </is>
      </c>
    </row>
    <row r="675">
      <c r="A675" s="5" t="inlineStr">
        <is>
          <t>RG2-LR</t>
        </is>
      </c>
      <c r="B675" s="6" t="inlineStr">
        <is>
          <t>INSS patronal sobre o pró-labore</t>
        </is>
      </c>
      <c r="C675" s="6" t="inlineStr">
        <is>
          <t>R$ 60.000,00 x 20,00%</t>
        </is>
      </c>
      <c r="D675" s="7" t="n">
        <v>12000</v>
      </c>
      <c r="E675" s="6" t="inlineStr">
        <is>
          <t>Lei 8.212/1991, art. 22, III</t>
        </is>
      </c>
    </row>
    <row r="676">
      <c r="A676" s="5" t="inlineStr">
        <is>
          <t>RG2-LR</t>
        </is>
      </c>
      <c r="B676" s="6" t="inlineStr">
        <is>
          <t>Lucro antes do IRPJ/CSLL</t>
        </is>
      </c>
      <c r="C676" s="6" t="inlineStr">
        <is>
          <t>R$ 1.089.000,00 receita - R$ 400.000,00 compras - R$ 0,00 despesas - R$ 180.000,00 folha e pró-labore - R$ 9.600,00 FGTS - R$ 189.360,00 tributos dedutíveis + R$ 25.608,00 de crédito de CBS e IBS</t>
        </is>
      </c>
      <c r="D676" s="7" t="n">
        <v>335648</v>
      </c>
      <c r="E676" s="6" t="inlineStr">
        <is>
          <t>Lei 6.404/1976 (DRE)</t>
        </is>
      </c>
    </row>
    <row r="677">
      <c r="A677" s="5" t="inlineStr">
        <is>
          <t>RG2-LR</t>
        </is>
      </c>
      <c r="B677" s="6" t="inlineStr">
        <is>
          <t>IRPJ</t>
        </is>
      </c>
      <c r="C677" s="6" t="inlineStr">
        <is>
          <t>R$ 335.648,00 x 15% + 10% sobre o que exceder R$ 240.000,00</t>
        </is>
      </c>
      <c r="D677" s="7" t="n">
        <v>59912</v>
      </c>
      <c r="E677" s="6" t="inlineStr">
        <is>
          <t>Lei 9.249/1995, art. 3º; Lei 9.430/1996, art. 2º</t>
        </is>
      </c>
    </row>
    <row r="678">
      <c r="A678" s="5" t="inlineStr">
        <is>
          <t>RG2-LR</t>
        </is>
      </c>
      <c r="B678" s="6" t="inlineStr">
        <is>
          <t>CSLL</t>
        </is>
      </c>
      <c r="C678" s="6" t="inlineStr">
        <is>
          <t>R$ 335.648,00 x 9%</t>
        </is>
      </c>
      <c r="D678" s="7" t="n">
        <v>30208.32</v>
      </c>
      <c r="E678" s="6" t="inlineStr">
        <is>
          <t>Lei 7.689/1988, art. 3º</t>
        </is>
      </c>
    </row>
    <row r="679">
      <c r="A679" s="5" t="inlineStr">
        <is>
          <t>RG3-LP</t>
        </is>
      </c>
      <c r="B679" s="6" t="inlineStr">
        <is>
          <t>Percentuais de presunção</t>
        </is>
      </c>
      <c r="C679" s="6" t="inlineStr">
        <is>
          <t>Prestação de serviços em geral: IRPJ 32,0%, CSLL 32,0%</t>
        </is>
      </c>
      <c r="D679" s="19" t="n">
        <v>0.32</v>
      </c>
      <c r="E679" s="6" t="inlineStr">
        <is>
          <t>Lei 9.249/1995, art. 15, §1º e art. 20</t>
        </is>
      </c>
    </row>
    <row r="680">
      <c r="A680" s="5" t="inlineStr">
        <is>
          <t>RG3-LP</t>
        </is>
      </c>
      <c r="B680" s="6" t="inlineStr">
        <is>
          <t>Receita para IRPJ e CSLL</t>
        </is>
      </c>
      <c r="C680" s="6" t="inlineStr">
        <is>
          <t>R$ 900.000,00 sem PIS/Cofins, CBS e IBS (e sem o ICMS/ISS já retirado pela transição)</t>
        </is>
      </c>
      <c r="D680" s="7" t="n">
        <v>858150</v>
      </c>
      <c r="E680" s="6" t="inlineStr">
        <is>
          <t>Lei 9.249/1995, art. 15 (receita bruta); IBS e CBS fora da receita bruta é tese, sem decisão judicial</t>
        </is>
      </c>
    </row>
    <row r="681">
      <c r="A681" s="5" t="inlineStr">
        <is>
          <t>RG3-LP</t>
        </is>
      </c>
      <c r="B681" s="6" t="inlineStr">
        <is>
          <t>1º tri - base presumida IRPJ</t>
        </is>
      </c>
      <c r="C681" s="6" t="inlineStr">
        <is>
          <t>R$ 214.537,50 x 32,0%</t>
        </is>
      </c>
      <c r="D681" s="7" t="n">
        <v>68652</v>
      </c>
      <c r="E681" s="6" t="inlineStr">
        <is>
          <t>Lei 9.249/1995, arts. 15 e 20</t>
        </is>
      </c>
    </row>
    <row r="682">
      <c r="A682" s="5" t="inlineStr">
        <is>
          <t>RG3-LP</t>
        </is>
      </c>
      <c r="B682" s="6" t="inlineStr">
        <is>
          <t>1º tri - IRPJ</t>
        </is>
      </c>
      <c r="C682" s="6" t="inlineStr">
        <is>
          <t>R$ 68.652,00 x 15% + adicional 10% sobre o que exceder R$ 60.000,00</t>
        </is>
      </c>
      <c r="D682" s="7" t="n">
        <v>11163</v>
      </c>
      <c r="E682" s="6" t="inlineStr">
        <is>
          <t>Lei 9.430/1996, arts. 3º e 4º</t>
        </is>
      </c>
    </row>
    <row r="683">
      <c r="A683" s="5" t="inlineStr">
        <is>
          <t>RG3-LP</t>
        </is>
      </c>
      <c r="B683" s="6" t="inlineStr">
        <is>
          <t>1º tri - base presumida CSLL</t>
        </is>
      </c>
      <c r="C683" s="6" t="inlineStr">
        <is>
          <t>R$ 214.537,50 x 32,0%</t>
        </is>
      </c>
      <c r="D683" s="7" t="n">
        <v>68652</v>
      </c>
      <c r="E683" s="6" t="inlineStr">
        <is>
          <t>Lei 9.249/1995, arts. 15 e 20</t>
        </is>
      </c>
    </row>
    <row r="684">
      <c r="A684" s="5" t="inlineStr">
        <is>
          <t>RG3-LP</t>
        </is>
      </c>
      <c r="B684" s="6" t="inlineStr">
        <is>
          <t>1º tri - CSLL</t>
        </is>
      </c>
      <c r="C684" s="6" t="inlineStr">
        <is>
          <t>R$ 68.652,00 x 9%</t>
        </is>
      </c>
      <c r="D684" s="7" t="n">
        <v>6178.68</v>
      </c>
      <c r="E684" s="6" t="inlineStr">
        <is>
          <t>Lei 7.689/1988, art. 3º</t>
        </is>
      </c>
    </row>
    <row r="685">
      <c r="A685" s="5" t="inlineStr">
        <is>
          <t>RG3-LP</t>
        </is>
      </c>
      <c r="B685" s="6" t="inlineStr">
        <is>
          <t>2º tri - base presumida IRPJ</t>
        </is>
      </c>
      <c r="C685" s="6" t="inlineStr">
        <is>
          <t>R$ 214.537,50 x 32,0%</t>
        </is>
      </c>
      <c r="D685" s="7" t="n">
        <v>68652</v>
      </c>
      <c r="E685" s="6" t="inlineStr">
        <is>
          <t>Lei 9.249/1995, arts. 15 e 20</t>
        </is>
      </c>
    </row>
    <row r="686">
      <c r="A686" s="5" t="inlineStr">
        <is>
          <t>RG3-LP</t>
        </is>
      </c>
      <c r="B686" s="6" t="inlineStr">
        <is>
          <t>2º tri - IRPJ</t>
        </is>
      </c>
      <c r="C686" s="6" t="inlineStr">
        <is>
          <t>R$ 68.652,00 x 15% + adicional 10% sobre o que exceder R$ 60.000,00</t>
        </is>
      </c>
      <c r="D686" s="7" t="n">
        <v>11163</v>
      </c>
      <c r="E686" s="6" t="inlineStr">
        <is>
          <t>Lei 9.430/1996, arts. 3º e 4º</t>
        </is>
      </c>
    </row>
    <row r="687">
      <c r="A687" s="5" t="inlineStr">
        <is>
          <t>RG3-LP</t>
        </is>
      </c>
      <c r="B687" s="6" t="inlineStr">
        <is>
          <t>2º tri - base presumida CSLL</t>
        </is>
      </c>
      <c r="C687" s="6" t="inlineStr">
        <is>
          <t>R$ 214.537,50 x 32,0%</t>
        </is>
      </c>
      <c r="D687" s="7" t="n">
        <v>68652</v>
      </c>
      <c r="E687" s="6" t="inlineStr">
        <is>
          <t>Lei 9.249/1995, arts. 15 e 20</t>
        </is>
      </c>
    </row>
    <row r="688">
      <c r="A688" s="5" t="inlineStr">
        <is>
          <t>RG3-LP</t>
        </is>
      </c>
      <c r="B688" s="6" t="inlineStr">
        <is>
          <t>2º tri - CSLL</t>
        </is>
      </c>
      <c r="C688" s="6" t="inlineStr">
        <is>
          <t>R$ 68.652,00 x 9%</t>
        </is>
      </c>
      <c r="D688" s="7" t="n">
        <v>6178.68</v>
      </c>
      <c r="E688" s="6" t="inlineStr">
        <is>
          <t>Lei 7.689/1988, art. 3º</t>
        </is>
      </c>
    </row>
    <row r="689">
      <c r="A689" s="5" t="inlineStr">
        <is>
          <t>RG3-LP</t>
        </is>
      </c>
      <c r="B689" s="6" t="inlineStr">
        <is>
          <t>3º tri - base presumida IRPJ</t>
        </is>
      </c>
      <c r="C689" s="6" t="inlineStr">
        <is>
          <t>R$ 214.537,50 x 32,0%</t>
        </is>
      </c>
      <c r="D689" s="7" t="n">
        <v>68652</v>
      </c>
      <c r="E689" s="6" t="inlineStr">
        <is>
          <t>Lei 9.249/1995, arts. 15 e 20</t>
        </is>
      </c>
    </row>
    <row r="690">
      <c r="A690" s="5" t="inlineStr">
        <is>
          <t>RG3-LP</t>
        </is>
      </c>
      <c r="B690" s="6" t="inlineStr">
        <is>
          <t>3º tri - IRPJ</t>
        </is>
      </c>
      <c r="C690" s="6" t="inlineStr">
        <is>
          <t>R$ 68.652,00 x 15% + adicional 10% sobre o que exceder R$ 60.000,00</t>
        </is>
      </c>
      <c r="D690" s="7" t="n">
        <v>11163</v>
      </c>
      <c r="E690" s="6" t="inlineStr">
        <is>
          <t>Lei 9.430/1996, arts. 3º e 4º</t>
        </is>
      </c>
    </row>
    <row r="691">
      <c r="A691" s="5" t="inlineStr">
        <is>
          <t>RG3-LP</t>
        </is>
      </c>
      <c r="B691" s="6" t="inlineStr">
        <is>
          <t>3º tri - base presumida CSLL</t>
        </is>
      </c>
      <c r="C691" s="6" t="inlineStr">
        <is>
          <t>R$ 214.537,50 x 32,0%</t>
        </is>
      </c>
      <c r="D691" s="7" t="n">
        <v>68652</v>
      </c>
      <c r="E691" s="6" t="inlineStr">
        <is>
          <t>Lei 9.249/1995, arts. 15 e 20</t>
        </is>
      </c>
    </row>
    <row r="692">
      <c r="A692" s="5" t="inlineStr">
        <is>
          <t>RG3-LP</t>
        </is>
      </c>
      <c r="B692" s="6" t="inlineStr">
        <is>
          <t>3º tri - CSLL</t>
        </is>
      </c>
      <c r="C692" s="6" t="inlineStr">
        <is>
          <t>R$ 68.652,00 x 9%</t>
        </is>
      </c>
      <c r="D692" s="7" t="n">
        <v>6178.68</v>
      </c>
      <c r="E692" s="6" t="inlineStr">
        <is>
          <t>Lei 7.689/1988, art. 3º</t>
        </is>
      </c>
    </row>
    <row r="693">
      <c r="A693" s="5" t="inlineStr">
        <is>
          <t>RG3-LP</t>
        </is>
      </c>
      <c r="B693" s="6" t="inlineStr">
        <is>
          <t>4º tri - base presumida IRPJ</t>
        </is>
      </c>
      <c r="C693" s="6" t="inlineStr">
        <is>
          <t>R$ 214.537,50 x 32,0%</t>
        </is>
      </c>
      <c r="D693" s="7" t="n">
        <v>68652</v>
      </c>
      <c r="E693" s="6" t="inlineStr">
        <is>
          <t>Lei 9.249/1995, arts. 15 e 20</t>
        </is>
      </c>
    </row>
    <row r="694">
      <c r="A694" s="5" t="inlineStr">
        <is>
          <t>RG3-LP</t>
        </is>
      </c>
      <c r="B694" s="6" t="inlineStr">
        <is>
          <t>4º tri - IRPJ</t>
        </is>
      </c>
      <c r="C694" s="6" t="inlineStr">
        <is>
          <t>R$ 68.652,00 x 15% + adicional 10% sobre o que exceder R$ 60.000,00</t>
        </is>
      </c>
      <c r="D694" s="7" t="n">
        <v>11163</v>
      </c>
      <c r="E694" s="6" t="inlineStr">
        <is>
          <t>Lei 9.430/1996, arts. 3º e 4º</t>
        </is>
      </c>
    </row>
    <row r="695">
      <c r="A695" s="5" t="inlineStr">
        <is>
          <t>RG3-LP</t>
        </is>
      </c>
      <c r="B695" s="6" t="inlineStr">
        <is>
          <t>4º tri - base presumida CSLL</t>
        </is>
      </c>
      <c r="C695" s="6" t="inlineStr">
        <is>
          <t>R$ 214.537,50 x 32,0%</t>
        </is>
      </c>
      <c r="D695" s="7" t="n">
        <v>68652</v>
      </c>
      <c r="E695" s="6" t="inlineStr">
        <is>
          <t>Lei 9.249/1995, arts. 15 e 20</t>
        </is>
      </c>
    </row>
    <row r="696">
      <c r="A696" s="5" t="inlineStr">
        <is>
          <t>RG3-LP</t>
        </is>
      </c>
      <c r="B696" s="6" t="inlineStr">
        <is>
          <t>4º tri - CSLL</t>
        </is>
      </c>
      <c r="C696" s="6" t="inlineStr">
        <is>
          <t>R$ 68.652,00 x 9%</t>
        </is>
      </c>
      <c r="D696" s="7" t="n">
        <v>6178.68</v>
      </c>
      <c r="E696" s="6" t="inlineStr">
        <is>
          <t>Lei 7.689/1988, art. 3º</t>
        </is>
      </c>
    </row>
    <row r="697">
      <c r="A697" s="5" t="inlineStr">
        <is>
          <t>RG3-LP</t>
        </is>
      </c>
      <c r="B697" s="6" t="inlineStr">
        <is>
          <t>CBS</t>
        </is>
      </c>
      <c r="C697" s="6" t="inlineStr">
        <is>
          <t>R$ 822.150,00 x 8,800% - crédito R$ 0,00 x 8,800%</t>
        </is>
      </c>
      <c r="D697" s="7" t="n">
        <v>72349.2</v>
      </c>
      <c r="E697" s="6" t="inlineStr">
        <is>
          <t>EC 132/2023 (ADCT, arts. 125 a 133); LC 214/2025</t>
        </is>
      </c>
    </row>
    <row r="698">
      <c r="A698" s="5" t="inlineStr">
        <is>
          <t>RG3-LP</t>
        </is>
      </c>
      <c r="B698" s="6" t="inlineStr">
        <is>
          <t>IBS</t>
        </is>
      </c>
      <c r="C698" s="6" t="inlineStr">
        <is>
          <t>R$ 822.150,00 x 3,540% - crédito R$ 0,00 x 3,540%</t>
        </is>
      </c>
      <c r="D698" s="7" t="n">
        <v>29104.11</v>
      </c>
      <c r="E698" s="6" t="inlineStr">
        <is>
          <t>EC 132/2023 (ADCT, arts. 125 a 133); LC 214/2025</t>
        </is>
      </c>
    </row>
    <row r="699">
      <c r="A699" s="5" t="inlineStr">
        <is>
          <t>RG3-LP</t>
        </is>
      </c>
      <c r="B699" s="6" t="inlineStr">
        <is>
          <t>Vendas sem tributos sobre o consumo</t>
        </is>
      </c>
      <c r="C699" s="6" t="inlineStr">
        <is>
          <t>R$ 900.000,00 sem o PIS/Cofins atual e o ICMS/ISS embutidos no preço</t>
        </is>
      </c>
      <c r="D699" s="7" t="n">
        <v>822150</v>
      </c>
      <c r="E699" s="6" t="inlineStr">
        <is>
          <t>EC 132/2023, ADCT arts. 125 a 133; LC 214/2025 (alíquotas de referência ainda estimadas)</t>
        </is>
      </c>
    </row>
    <row r="700">
      <c r="A700" s="5" t="inlineStr">
        <is>
          <t>RG3-LP</t>
        </is>
      </c>
      <c r="B700" s="6" t="inlineStr">
        <is>
          <t>ISS</t>
        </is>
      </c>
      <c r="C700" s="6" t="inlineStr">
        <is>
          <t>R$ 900.000,00 x 5,00%</t>
        </is>
      </c>
      <c r="D700" s="7" t="n">
        <v>45000</v>
      </c>
      <c r="E700" s="6" t="inlineStr">
        <is>
          <t>LC 116/2003 e lei municipal</t>
        </is>
      </c>
    </row>
    <row r="701">
      <c r="A701" s="5" t="inlineStr">
        <is>
          <t>RG3-LP</t>
        </is>
      </c>
      <c r="B701" s="6" t="inlineStr">
        <is>
          <t>ISS na transição da Reforma (2030)</t>
        </is>
      </c>
      <c r="C701" s="6" t="inlineStr">
        <is>
          <t>R$ 45.000,00 x 80%</t>
        </is>
      </c>
      <c r="D701" s="7" t="n">
        <v>36000</v>
      </c>
      <c r="E701" s="6" t="inlineStr">
        <is>
          <t>EC 132/2023, ADCT art. 128</t>
        </is>
      </c>
    </row>
    <row r="702">
      <c r="A702" s="5" t="inlineStr">
        <is>
          <t>RG3-LP</t>
        </is>
      </c>
      <c r="B702" s="6" t="inlineStr">
        <is>
          <t>INSS patronal sobre a folha CLT</t>
        </is>
      </c>
      <c r="C702" s="6" t="inlineStr">
        <is>
          <t>R$ 200.000,00 x (20,00% CPP + 2,00% RAT + 5,80% terceiros)</t>
        </is>
      </c>
      <c r="D702" s="7" t="n">
        <v>55600</v>
      </c>
      <c r="E702" s="6" t="inlineStr">
        <is>
          <t>Lei 8.212/1991, art. 22, I e II</t>
        </is>
      </c>
    </row>
    <row r="703">
      <c r="A703" s="5" t="inlineStr">
        <is>
          <t>RG3-LP</t>
        </is>
      </c>
      <c r="B703" s="6" t="inlineStr">
        <is>
          <t>INSS patronal sobre o pró-labore</t>
        </is>
      </c>
      <c r="C703" s="6" t="inlineStr">
        <is>
          <t>R$ 60.000,00 x 20,00%</t>
        </is>
      </c>
      <c r="D703" s="7" t="n">
        <v>12000</v>
      </c>
      <c r="E703" s="6" t="inlineStr">
        <is>
          <t>Lei 8.212/1991, art. 22, III</t>
        </is>
      </c>
    </row>
    <row r="704">
      <c r="A704" s="5" t="inlineStr">
        <is>
          <t>RG3-LR</t>
        </is>
      </c>
      <c r="B704" s="6" t="inlineStr">
        <is>
          <t>CBS</t>
        </is>
      </c>
      <c r="C704" s="6" t="inlineStr">
        <is>
          <t>R$ 771.750,00 x 8,800% - crédito R$ 0,00 x 8,800%</t>
        </is>
      </c>
      <c r="D704" s="7" t="n">
        <v>67914</v>
      </c>
      <c r="E704" s="6" t="inlineStr">
        <is>
          <t>EC 132/2023 (ADCT, arts. 125 a 133); LC 214/2025</t>
        </is>
      </c>
    </row>
    <row r="705">
      <c r="A705" s="5" t="inlineStr">
        <is>
          <t>RG3-LR</t>
        </is>
      </c>
      <c r="B705" s="6" t="inlineStr">
        <is>
          <t>IBS</t>
        </is>
      </c>
      <c r="C705" s="6" t="inlineStr">
        <is>
          <t>R$ 771.750,00 x 3,540% - crédito R$ 0,00 x 3,540%</t>
        </is>
      </c>
      <c r="D705" s="7" t="n">
        <v>27319.95</v>
      </c>
      <c r="E705" s="6" t="inlineStr">
        <is>
          <t>EC 132/2023 (ADCT, arts. 125 a 133); LC 214/2025</t>
        </is>
      </c>
    </row>
    <row r="706">
      <c r="A706" s="5" t="inlineStr">
        <is>
          <t>RG3-LR</t>
        </is>
      </c>
      <c r="B706" s="6" t="inlineStr">
        <is>
          <t>Vendas sem tributos sobre o consumo</t>
        </is>
      </c>
      <c r="C706" s="6" t="inlineStr">
        <is>
          <t>R$ 900.000,00 sem o PIS/Cofins atual e o ICMS/ISS embutidos no preço</t>
        </is>
      </c>
      <c r="D706" s="7" t="n">
        <v>771750</v>
      </c>
      <c r="E706" s="6" t="inlineStr">
        <is>
          <t>EC 132/2023, ADCT arts. 125 a 133; LC 214/2025 (alíquotas de referência ainda estimadas)</t>
        </is>
      </c>
    </row>
    <row r="707">
      <c r="A707" s="5" t="inlineStr">
        <is>
          <t>RG3-LR</t>
        </is>
      </c>
      <c r="B707" s="6" t="inlineStr">
        <is>
          <t>Receita para o lucro</t>
        </is>
      </c>
      <c r="C707" s="6" t="inlineStr">
        <is>
          <t>R$ 900.000,00 sem PIS/Cofins, CBS e IBS (e sem o ICMS/ISS já retirado pela transição)</t>
        </is>
      </c>
      <c r="D707" s="7" t="n">
        <v>807750</v>
      </c>
      <c r="E707" s="6" t="inlineStr">
        <is>
          <t>Lei 9.249/1995, art. 15 (receita bruta); IBS e CBS fora da receita bruta é tese, sem decisão judicial</t>
        </is>
      </c>
    </row>
    <row r="708">
      <c r="A708" s="5" t="inlineStr">
        <is>
          <t>RG3-LR</t>
        </is>
      </c>
      <c r="B708" s="6" t="inlineStr">
        <is>
          <t>ISS</t>
        </is>
      </c>
      <c r="C708" s="6" t="inlineStr">
        <is>
          <t>R$ 900.000,00 x 5,00%</t>
        </is>
      </c>
      <c r="D708" s="7" t="n">
        <v>45000</v>
      </c>
      <c r="E708" s="6" t="inlineStr">
        <is>
          <t>LC 116/2003 e lei municipal</t>
        </is>
      </c>
    </row>
    <row r="709">
      <c r="A709" s="5" t="inlineStr">
        <is>
          <t>RG3-LR</t>
        </is>
      </c>
      <c r="B709" s="6" t="inlineStr">
        <is>
          <t>ISS na transição da Reforma (2030)</t>
        </is>
      </c>
      <c r="C709" s="6" t="inlineStr">
        <is>
          <t>R$ 45.000,00 x 80%</t>
        </is>
      </c>
      <c r="D709" s="7" t="n">
        <v>36000</v>
      </c>
      <c r="E709" s="6" t="inlineStr">
        <is>
          <t>EC 132/2023, ADCT art. 128</t>
        </is>
      </c>
    </row>
    <row r="710">
      <c r="A710" s="5" t="inlineStr">
        <is>
          <t>RG3-LR</t>
        </is>
      </c>
      <c r="B710" s="6" t="inlineStr">
        <is>
          <t>INSS patronal sobre a folha CLT</t>
        </is>
      </c>
      <c r="C710" s="6" t="inlineStr">
        <is>
          <t>R$ 200.000,00 x (20,00% CPP + 2,00% RAT + 5,80% terceiros)</t>
        </is>
      </c>
      <c r="D710" s="7" t="n">
        <v>55600</v>
      </c>
      <c r="E710" s="6" t="inlineStr">
        <is>
          <t>Lei 8.212/1991, art. 22, I e II</t>
        </is>
      </c>
    </row>
    <row r="711">
      <c r="A711" s="5" t="inlineStr">
        <is>
          <t>RG3-LR</t>
        </is>
      </c>
      <c r="B711" s="6" t="inlineStr">
        <is>
          <t>INSS patronal sobre o pró-labore</t>
        </is>
      </c>
      <c r="C711" s="6" t="inlineStr">
        <is>
          <t>R$ 60.000,00 x 20,00%</t>
        </is>
      </c>
      <c r="D711" s="7" t="n">
        <v>12000</v>
      </c>
      <c r="E711" s="6" t="inlineStr">
        <is>
          <t>Lei 8.212/1991, art. 22, III</t>
        </is>
      </c>
    </row>
    <row r="712">
      <c r="A712" s="5" t="inlineStr">
        <is>
          <t>RG3-LR</t>
        </is>
      </c>
      <c r="B712" s="6" t="inlineStr">
        <is>
          <t>Lucro antes do IRPJ/CSLL</t>
        </is>
      </c>
      <c r="C712" s="6" t="inlineStr">
        <is>
          <t>R$ 807.750,00 receita - R$ 0,00 compras - R$ 0,00 despesas - R$ 260.000,00 folha e pró-labore - R$ 16.000,00 FGTS - R$ 103.600,00 tributos dedutíveis + R$ 0,00 de crédito de CBS e IBS</t>
        </is>
      </c>
      <c r="D712" s="7" t="n">
        <v>428150</v>
      </c>
      <c r="E712" s="6" t="inlineStr">
        <is>
          <t>Lei 6.404/1976 (DRE)</t>
        </is>
      </c>
    </row>
    <row r="713">
      <c r="A713" s="5" t="inlineStr">
        <is>
          <t>RG3-LR</t>
        </is>
      </c>
      <c r="B713" s="6" t="inlineStr">
        <is>
          <t>IRPJ</t>
        </is>
      </c>
      <c r="C713" s="6" t="inlineStr">
        <is>
          <t>R$ 428.150,00 x 15% + 10% sobre o que exceder R$ 240.000,00</t>
        </is>
      </c>
      <c r="D713" s="7" t="n">
        <v>83037.5</v>
      </c>
      <c r="E713" s="6" t="inlineStr">
        <is>
          <t>Lei 9.249/1995, art. 3º; Lei 9.430/1996, art. 2º</t>
        </is>
      </c>
    </row>
    <row r="714">
      <c r="A714" s="5" t="inlineStr">
        <is>
          <t>RG3-LR</t>
        </is>
      </c>
      <c r="B714" s="6" t="inlineStr">
        <is>
          <t>CSLL</t>
        </is>
      </c>
      <c r="C714" s="6" t="inlineStr">
        <is>
          <t>R$ 428.150,00 x 9%</t>
        </is>
      </c>
      <c r="D714" s="7" t="n">
        <v>38533.5</v>
      </c>
      <c r="E714" s="6" t="inlineStr">
        <is>
          <t>Lei 7.689/1988, art. 3º</t>
        </is>
      </c>
    </row>
    <row r="715">
      <c r="A715" s="5" t="inlineStr">
        <is>
          <t>RG4-LP</t>
        </is>
      </c>
      <c r="B715" s="6" t="inlineStr">
        <is>
          <t>Percentuais de presunção</t>
        </is>
      </c>
      <c r="C715" s="6" t="inlineStr">
        <is>
          <t>Prestação de serviços em geral: IRPJ 32,0%, CSLL 32,0%</t>
        </is>
      </c>
      <c r="D715" s="19" t="n">
        <v>0.32</v>
      </c>
      <c r="E715" s="6" t="inlineStr">
        <is>
          <t>Lei 9.249/1995, art. 15, §1º e art. 20</t>
        </is>
      </c>
    </row>
    <row r="716">
      <c r="A716" s="5" t="inlineStr">
        <is>
          <t>RG4-LP</t>
        </is>
      </c>
      <c r="B716" s="6" t="inlineStr">
        <is>
          <t>Receita para IRPJ e CSLL</t>
        </is>
      </c>
      <c r="C716" s="6" t="inlineStr">
        <is>
          <t>R$ 900.000,00 sem PIS/Cofins, CBS e IBS (e sem o ICMS/ISS já retirado pela transição)</t>
        </is>
      </c>
      <c r="D716" s="7" t="n">
        <v>867150</v>
      </c>
      <c r="E716" s="6" t="inlineStr">
        <is>
          <t>Lei 9.249/1995, art. 15 (receita bruta); IBS e CBS fora da receita bruta é tese, sem decisão judicial</t>
        </is>
      </c>
    </row>
    <row r="717">
      <c r="A717" s="5" t="inlineStr">
        <is>
          <t>RG4-LP</t>
        </is>
      </c>
      <c r="B717" s="6" t="inlineStr">
        <is>
          <t>1º tri - base presumida IRPJ</t>
        </is>
      </c>
      <c r="C717" s="6" t="inlineStr">
        <is>
          <t>R$ 216.787,50 x 32,0%</t>
        </is>
      </c>
      <c r="D717" s="7" t="n">
        <v>69372</v>
      </c>
      <c r="E717" s="6" t="inlineStr">
        <is>
          <t>Lei 9.249/1995, arts. 15 e 20</t>
        </is>
      </c>
    </row>
    <row r="718">
      <c r="A718" s="5" t="inlineStr">
        <is>
          <t>RG4-LP</t>
        </is>
      </c>
      <c r="B718" s="6" t="inlineStr">
        <is>
          <t>1º tri - IRPJ</t>
        </is>
      </c>
      <c r="C718" s="6" t="inlineStr">
        <is>
          <t>R$ 69.372,00 x 15% + adicional 10% sobre o que exceder R$ 60.000,00</t>
        </is>
      </c>
      <c r="D718" s="7" t="n">
        <v>11343</v>
      </c>
      <c r="E718" s="6" t="inlineStr">
        <is>
          <t>Lei 9.430/1996, arts. 3º e 4º</t>
        </is>
      </c>
    </row>
    <row r="719">
      <c r="A719" s="5" t="inlineStr">
        <is>
          <t>RG4-LP</t>
        </is>
      </c>
      <c r="B719" s="6" t="inlineStr">
        <is>
          <t>1º tri - base presumida CSLL</t>
        </is>
      </c>
      <c r="C719" s="6" t="inlineStr">
        <is>
          <t>R$ 216.787,50 x 32,0%</t>
        </is>
      </c>
      <c r="D719" s="7" t="n">
        <v>69372</v>
      </c>
      <c r="E719" s="6" t="inlineStr">
        <is>
          <t>Lei 9.249/1995, arts. 15 e 20</t>
        </is>
      </c>
    </row>
    <row r="720">
      <c r="A720" s="5" t="inlineStr">
        <is>
          <t>RG4-LP</t>
        </is>
      </c>
      <c r="B720" s="6" t="inlineStr">
        <is>
          <t>1º tri - CSLL</t>
        </is>
      </c>
      <c r="C720" s="6" t="inlineStr">
        <is>
          <t>R$ 69.372,00 x 9%</t>
        </is>
      </c>
      <c r="D720" s="7" t="n">
        <v>6243.48</v>
      </c>
      <c r="E720" s="6" t="inlineStr">
        <is>
          <t>Lei 7.689/1988, art. 3º</t>
        </is>
      </c>
    </row>
    <row r="721">
      <c r="A721" s="5" t="inlineStr">
        <is>
          <t>RG4-LP</t>
        </is>
      </c>
      <c r="B721" s="6" t="inlineStr">
        <is>
          <t>2º tri - base presumida IRPJ</t>
        </is>
      </c>
      <c r="C721" s="6" t="inlineStr">
        <is>
          <t>R$ 216.787,50 x 32,0%</t>
        </is>
      </c>
      <c r="D721" s="7" t="n">
        <v>69372</v>
      </c>
      <c r="E721" s="6" t="inlineStr">
        <is>
          <t>Lei 9.249/1995, arts. 15 e 20</t>
        </is>
      </c>
    </row>
    <row r="722">
      <c r="A722" s="5" t="inlineStr">
        <is>
          <t>RG4-LP</t>
        </is>
      </c>
      <c r="B722" s="6" t="inlineStr">
        <is>
          <t>2º tri - IRPJ</t>
        </is>
      </c>
      <c r="C722" s="6" t="inlineStr">
        <is>
          <t>R$ 69.372,00 x 15% + adicional 10% sobre o que exceder R$ 60.000,00</t>
        </is>
      </c>
      <c r="D722" s="7" t="n">
        <v>11343</v>
      </c>
      <c r="E722" s="6" t="inlineStr">
        <is>
          <t>Lei 9.430/1996, arts. 3º e 4º</t>
        </is>
      </c>
    </row>
    <row r="723">
      <c r="A723" s="5" t="inlineStr">
        <is>
          <t>RG4-LP</t>
        </is>
      </c>
      <c r="B723" s="6" t="inlineStr">
        <is>
          <t>2º tri - base presumida CSLL</t>
        </is>
      </c>
      <c r="C723" s="6" t="inlineStr">
        <is>
          <t>R$ 216.787,50 x 32,0%</t>
        </is>
      </c>
      <c r="D723" s="7" t="n">
        <v>69372</v>
      </c>
      <c r="E723" s="6" t="inlineStr">
        <is>
          <t>Lei 9.249/1995, arts. 15 e 20</t>
        </is>
      </c>
    </row>
    <row r="724">
      <c r="A724" s="5" t="inlineStr">
        <is>
          <t>RG4-LP</t>
        </is>
      </c>
      <c r="B724" s="6" t="inlineStr">
        <is>
          <t>2º tri - CSLL</t>
        </is>
      </c>
      <c r="C724" s="6" t="inlineStr">
        <is>
          <t>R$ 69.372,00 x 9%</t>
        </is>
      </c>
      <c r="D724" s="7" t="n">
        <v>6243.48</v>
      </c>
      <c r="E724" s="6" t="inlineStr">
        <is>
          <t>Lei 7.689/1988, art. 3º</t>
        </is>
      </c>
    </row>
    <row r="725">
      <c r="A725" s="5" t="inlineStr">
        <is>
          <t>RG4-LP</t>
        </is>
      </c>
      <c r="B725" s="6" t="inlineStr">
        <is>
          <t>3º tri - base presumida IRPJ</t>
        </is>
      </c>
      <c r="C725" s="6" t="inlineStr">
        <is>
          <t>R$ 216.787,50 x 32,0%</t>
        </is>
      </c>
      <c r="D725" s="7" t="n">
        <v>69372</v>
      </c>
      <c r="E725" s="6" t="inlineStr">
        <is>
          <t>Lei 9.249/1995, arts. 15 e 20</t>
        </is>
      </c>
    </row>
    <row r="726">
      <c r="A726" s="5" t="inlineStr">
        <is>
          <t>RG4-LP</t>
        </is>
      </c>
      <c r="B726" s="6" t="inlineStr">
        <is>
          <t>3º tri - IRPJ</t>
        </is>
      </c>
      <c r="C726" s="6" t="inlineStr">
        <is>
          <t>R$ 69.372,00 x 15% + adicional 10% sobre o que exceder R$ 60.000,00</t>
        </is>
      </c>
      <c r="D726" s="7" t="n">
        <v>11343</v>
      </c>
      <c r="E726" s="6" t="inlineStr">
        <is>
          <t>Lei 9.430/1996, arts. 3º e 4º</t>
        </is>
      </c>
    </row>
    <row r="727">
      <c r="A727" s="5" t="inlineStr">
        <is>
          <t>RG4-LP</t>
        </is>
      </c>
      <c r="B727" s="6" t="inlineStr">
        <is>
          <t>3º tri - base presumida CSLL</t>
        </is>
      </c>
      <c r="C727" s="6" t="inlineStr">
        <is>
          <t>R$ 216.787,50 x 32,0%</t>
        </is>
      </c>
      <c r="D727" s="7" t="n">
        <v>69372</v>
      </c>
      <c r="E727" s="6" t="inlineStr">
        <is>
          <t>Lei 9.249/1995, arts. 15 e 20</t>
        </is>
      </c>
    </row>
    <row r="728">
      <c r="A728" s="5" t="inlineStr">
        <is>
          <t>RG4-LP</t>
        </is>
      </c>
      <c r="B728" s="6" t="inlineStr">
        <is>
          <t>3º tri - CSLL</t>
        </is>
      </c>
      <c r="C728" s="6" t="inlineStr">
        <is>
          <t>R$ 69.372,00 x 9%</t>
        </is>
      </c>
      <c r="D728" s="7" t="n">
        <v>6243.48</v>
      </c>
      <c r="E728" s="6" t="inlineStr">
        <is>
          <t>Lei 7.689/1988, art. 3º</t>
        </is>
      </c>
    </row>
    <row r="729">
      <c r="A729" s="5" t="inlineStr">
        <is>
          <t>RG4-LP</t>
        </is>
      </c>
      <c r="B729" s="6" t="inlineStr">
        <is>
          <t>4º tri - base presumida IRPJ</t>
        </is>
      </c>
      <c r="C729" s="6" t="inlineStr">
        <is>
          <t>R$ 216.787,50 x 32,0%</t>
        </is>
      </c>
      <c r="D729" s="7" t="n">
        <v>69372</v>
      </c>
      <c r="E729" s="6" t="inlineStr">
        <is>
          <t>Lei 9.249/1995, arts. 15 e 20</t>
        </is>
      </c>
    </row>
    <row r="730">
      <c r="A730" s="5" t="inlineStr">
        <is>
          <t>RG4-LP</t>
        </is>
      </c>
      <c r="B730" s="6" t="inlineStr">
        <is>
          <t>4º tri - IRPJ</t>
        </is>
      </c>
      <c r="C730" s="6" t="inlineStr">
        <is>
          <t>R$ 69.372,00 x 15% + adicional 10% sobre o que exceder R$ 60.000,00</t>
        </is>
      </c>
      <c r="D730" s="7" t="n">
        <v>11343</v>
      </c>
      <c r="E730" s="6" t="inlineStr">
        <is>
          <t>Lei 9.430/1996, arts. 3º e 4º</t>
        </is>
      </c>
    </row>
    <row r="731">
      <c r="A731" s="5" t="inlineStr">
        <is>
          <t>RG4-LP</t>
        </is>
      </c>
      <c r="B731" s="6" t="inlineStr">
        <is>
          <t>4º tri - base presumida CSLL</t>
        </is>
      </c>
      <c r="C731" s="6" t="inlineStr">
        <is>
          <t>R$ 216.787,50 x 32,0%</t>
        </is>
      </c>
      <c r="D731" s="7" t="n">
        <v>69372</v>
      </c>
      <c r="E731" s="6" t="inlineStr">
        <is>
          <t>Lei 9.249/1995, arts. 15 e 20</t>
        </is>
      </c>
    </row>
    <row r="732">
      <c r="A732" s="5" t="inlineStr">
        <is>
          <t>RG4-LP</t>
        </is>
      </c>
      <c r="B732" s="6" t="inlineStr">
        <is>
          <t>4º tri - CSLL</t>
        </is>
      </c>
      <c r="C732" s="6" t="inlineStr">
        <is>
          <t>R$ 69.372,00 x 9%</t>
        </is>
      </c>
      <c r="D732" s="7" t="n">
        <v>6243.48</v>
      </c>
      <c r="E732" s="6" t="inlineStr">
        <is>
          <t>Lei 7.689/1988, art. 3º</t>
        </is>
      </c>
    </row>
    <row r="733">
      <c r="A733" s="5" t="inlineStr">
        <is>
          <t>RG4-LP</t>
        </is>
      </c>
      <c r="B733" s="6" t="inlineStr">
        <is>
          <t>CBS</t>
        </is>
      </c>
      <c r="C733" s="6" t="inlineStr">
        <is>
          <t>R$ 822.150,00 x 6,090% - crédito R$ 0,00 x 8,700%</t>
        </is>
      </c>
      <c r="D733" s="7" t="n">
        <v>50068.935</v>
      </c>
      <c r="E733" s="6" t="inlineStr">
        <is>
          <t>EC 132/2023 (ADCT, arts. 125 a 133); LC 214/2025</t>
        </is>
      </c>
    </row>
    <row r="734">
      <c r="A734" s="5" t="inlineStr">
        <is>
          <t>RG4-LP</t>
        </is>
      </c>
      <c r="B734" s="6" t="inlineStr">
        <is>
          <t>IBS</t>
        </is>
      </c>
      <c r="C734" s="6" t="inlineStr">
        <is>
          <t>R$ 822.150,00 x 0,070% - crédito R$ 0,00 x 0,100%</t>
        </is>
      </c>
      <c r="D734" s="7" t="n">
        <v>575.505</v>
      </c>
      <c r="E734" s="6" t="inlineStr">
        <is>
          <t>EC 132/2023 (ADCT, arts. 125 a 133); LC 214/2025</t>
        </is>
      </c>
    </row>
    <row r="735">
      <c r="A735" s="5" t="inlineStr">
        <is>
          <t>RG4-LP</t>
        </is>
      </c>
      <c r="B735" s="6" t="inlineStr">
        <is>
          <t>Vendas sem tributos sobre o consumo</t>
        </is>
      </c>
      <c r="C735" s="6" t="inlineStr">
        <is>
          <t>R$ 900.000,00 sem o PIS/Cofins atual e o ICMS/ISS embutidos no preço</t>
        </is>
      </c>
      <c r="D735" s="7" t="n">
        <v>822150</v>
      </c>
      <c r="E735" s="6" t="inlineStr">
        <is>
          <t>EC 132/2023, ADCT arts. 125 a 133; LC 214/2025 (alíquotas de referência ainda estimadas)</t>
        </is>
      </c>
    </row>
    <row r="736">
      <c r="A736" s="5" t="inlineStr">
        <is>
          <t>RG4-LP</t>
        </is>
      </c>
      <c r="B736" s="6" t="inlineStr">
        <is>
          <t>ISS</t>
        </is>
      </c>
      <c r="C736" s="6" t="inlineStr">
        <is>
          <t>R$ 900.000,00 x 5,00%</t>
        </is>
      </c>
      <c r="D736" s="7" t="n">
        <v>45000</v>
      </c>
      <c r="E736" s="6" t="inlineStr">
        <is>
          <t>LC 116/2003 e lei municipal</t>
        </is>
      </c>
    </row>
    <row r="737">
      <c r="A737" s="5" t="inlineStr">
        <is>
          <t>RG4-LP</t>
        </is>
      </c>
      <c r="B737" s="6" t="inlineStr">
        <is>
          <t>INSS patronal sobre a folha CLT</t>
        </is>
      </c>
      <c r="C737" s="6" t="inlineStr">
        <is>
          <t>R$ 200.000,00 x (20,00% CPP + 2,00% RAT + 5,80% terceiros)</t>
        </is>
      </c>
      <c r="D737" s="7" t="n">
        <v>55600</v>
      </c>
      <c r="E737" s="6" t="inlineStr">
        <is>
          <t>Lei 8.212/1991, art. 22, I e II</t>
        </is>
      </c>
    </row>
    <row r="738">
      <c r="A738" s="5" t="inlineStr">
        <is>
          <t>RG4-LP</t>
        </is>
      </c>
      <c r="B738" s="6" t="inlineStr">
        <is>
          <t>INSS patronal sobre o pró-labore</t>
        </is>
      </c>
      <c r="C738" s="6" t="inlineStr">
        <is>
          <t>R$ 60.000,00 x 20,00%</t>
        </is>
      </c>
      <c r="D738" s="7" t="n">
        <v>12000</v>
      </c>
      <c r="E738" s="6" t="inlineStr">
        <is>
          <t>Lei 8.212/1991, art. 22, III</t>
        </is>
      </c>
    </row>
    <row r="739">
      <c r="A739" s="5" t="inlineStr">
        <is>
          <t>RG4-LR</t>
        </is>
      </c>
      <c r="B739" s="6" t="inlineStr">
        <is>
          <t>CBS</t>
        </is>
      </c>
      <c r="C739" s="6" t="inlineStr">
        <is>
          <t>R$ 771.750,00 x 6,090% - crédito R$ 0,00 x 8,700%</t>
        </is>
      </c>
      <c r="D739" s="7" t="n">
        <v>46999.575</v>
      </c>
      <c r="E739" s="6" t="inlineStr">
        <is>
          <t>EC 132/2023 (ADCT, arts. 125 a 133); LC 214/2025</t>
        </is>
      </c>
    </row>
    <row r="740">
      <c r="A740" s="5" t="inlineStr">
        <is>
          <t>RG4-LR</t>
        </is>
      </c>
      <c r="B740" s="6" t="inlineStr">
        <is>
          <t>IBS</t>
        </is>
      </c>
      <c r="C740" s="6" t="inlineStr">
        <is>
          <t>R$ 771.750,00 x 0,070% - crédito R$ 0,00 x 0,100%</t>
        </is>
      </c>
      <c r="D740" s="7" t="n">
        <v>540.225</v>
      </c>
      <c r="E740" s="6" t="inlineStr">
        <is>
          <t>EC 132/2023 (ADCT, arts. 125 a 133); LC 214/2025</t>
        </is>
      </c>
    </row>
    <row r="741">
      <c r="A741" s="5" t="inlineStr">
        <is>
          <t>RG4-LR</t>
        </is>
      </c>
      <c r="B741" s="6" t="inlineStr">
        <is>
          <t>Vendas sem tributos sobre o consumo</t>
        </is>
      </c>
      <c r="C741" s="6" t="inlineStr">
        <is>
          <t>R$ 900.000,00 sem o PIS/Cofins atual e o ICMS/ISS embutidos no preço</t>
        </is>
      </c>
      <c r="D741" s="7" t="n">
        <v>771750</v>
      </c>
      <c r="E741" s="6" t="inlineStr">
        <is>
          <t>EC 132/2023, ADCT arts. 125 a 133; LC 214/2025 (alíquotas de referência ainda estimadas)</t>
        </is>
      </c>
    </row>
    <row r="742">
      <c r="A742" s="5" t="inlineStr">
        <is>
          <t>RG4-LR</t>
        </is>
      </c>
      <c r="B742" s="6" t="inlineStr">
        <is>
          <t>Receita para o lucro</t>
        </is>
      </c>
      <c r="C742" s="6" t="inlineStr">
        <is>
          <t>R$ 900.000,00 sem PIS/Cofins, CBS e IBS (e sem o ICMS/ISS já retirado pela transição)</t>
        </is>
      </c>
      <c r="D742" s="7" t="n">
        <v>816750</v>
      </c>
      <c r="E742" s="6" t="inlineStr">
        <is>
          <t>Lei 9.249/1995, art. 15 (receita bruta); IBS e CBS fora da receita bruta é tese, sem decisão judicial</t>
        </is>
      </c>
    </row>
    <row r="743">
      <c r="A743" s="5" t="inlineStr">
        <is>
          <t>RG4-LR</t>
        </is>
      </c>
      <c r="B743" s="6" t="inlineStr">
        <is>
          <t>ISS</t>
        </is>
      </c>
      <c r="C743" s="6" t="inlineStr">
        <is>
          <t>R$ 900.000,00 x 5,00%</t>
        </is>
      </c>
      <c r="D743" s="7" t="n">
        <v>45000</v>
      </c>
      <c r="E743" s="6" t="inlineStr">
        <is>
          <t>LC 116/2003 e lei municipal</t>
        </is>
      </c>
    </row>
    <row r="744">
      <c r="A744" s="5" t="inlineStr">
        <is>
          <t>RG4-LR</t>
        </is>
      </c>
      <c r="B744" s="6" t="inlineStr">
        <is>
          <t>INSS patronal sobre a folha CLT</t>
        </is>
      </c>
      <c r="C744" s="6" t="inlineStr">
        <is>
          <t>R$ 200.000,00 x (20,00% CPP + 2,00% RAT + 5,80% terceiros)</t>
        </is>
      </c>
      <c r="D744" s="7" t="n">
        <v>55600</v>
      </c>
      <c r="E744" s="6" t="inlineStr">
        <is>
          <t>Lei 8.212/1991, art. 22, I e II</t>
        </is>
      </c>
    </row>
    <row r="745">
      <c r="A745" s="5" t="inlineStr">
        <is>
          <t>RG4-LR</t>
        </is>
      </c>
      <c r="B745" s="6" t="inlineStr">
        <is>
          <t>INSS patronal sobre o pró-labore</t>
        </is>
      </c>
      <c r="C745" s="6" t="inlineStr">
        <is>
          <t>R$ 60.000,00 x 20,00%</t>
        </is>
      </c>
      <c r="D745" s="7" t="n">
        <v>12000</v>
      </c>
      <c r="E745" s="6" t="inlineStr">
        <is>
          <t>Lei 8.212/1991, art. 22, III</t>
        </is>
      </c>
    </row>
    <row r="746">
      <c r="A746" s="5" t="inlineStr">
        <is>
          <t>RG4-LR</t>
        </is>
      </c>
      <c r="B746" s="6" t="inlineStr">
        <is>
          <t>Lucro antes do IRPJ/CSLL</t>
        </is>
      </c>
      <c r="C746" s="6" t="inlineStr">
        <is>
          <t>R$ 816.750,00 receita - R$ 0,00 compras - R$ 0,00 despesas - R$ 260.000,00 folha e pró-labore - R$ 16.000,00 FGTS - R$ 112.600,00 tributos dedutíveis + R$ 0,00 de crédito de CBS e IBS</t>
        </is>
      </c>
      <c r="D746" s="7" t="n">
        <v>428150</v>
      </c>
      <c r="E746" s="6" t="inlineStr">
        <is>
          <t>Lei 6.404/1976 (DRE)</t>
        </is>
      </c>
    </row>
    <row r="747">
      <c r="A747" s="5" t="inlineStr">
        <is>
          <t>RG4-LR</t>
        </is>
      </c>
      <c r="B747" s="6" t="inlineStr">
        <is>
          <t>IRPJ</t>
        </is>
      </c>
      <c r="C747" s="6" t="inlineStr">
        <is>
          <t>R$ 428.150,00 x 15% + 10% sobre o que exceder R$ 240.000,00</t>
        </is>
      </c>
      <c r="D747" s="7" t="n">
        <v>83037.5</v>
      </c>
      <c r="E747" s="6" t="inlineStr">
        <is>
          <t>Lei 9.249/1995, art. 3º; Lei 9.430/1996, art. 2º</t>
        </is>
      </c>
    </row>
    <row r="748">
      <c r="A748" s="5" t="inlineStr">
        <is>
          <t>RG4-LR</t>
        </is>
      </c>
      <c r="B748" s="6" t="inlineStr">
        <is>
          <t>CSLL</t>
        </is>
      </c>
      <c r="C748" s="6" t="inlineStr">
        <is>
          <t>R$ 428.150,00 x 9%</t>
        </is>
      </c>
      <c r="D748" s="7" t="n">
        <v>38533.5</v>
      </c>
      <c r="E748" s="6" t="inlineStr">
        <is>
          <t>Lei 7.689/1988, art. 3º</t>
        </is>
      </c>
    </row>
    <row r="749">
      <c r="A749" s="5" t="inlineStr">
        <is>
          <t>MIX1-SN</t>
        </is>
      </c>
      <c r="B749" s="6" t="inlineStr">
        <is>
          <t>Fator R (folha 12 meses / RBT12)</t>
        </is>
      </c>
      <c r="C749" s="6" t="inlineStr">
        <is>
          <t>R$ 319.200,00 (salários + pró-labore + FGTS 8%) / R$ 1.800.000,00 = 17,73% -&gt; Anexo V</t>
        </is>
      </c>
      <c r="D749" s="19" t="n">
        <v>0.1773333333333333</v>
      </c>
      <c r="E749" s="6" t="inlineStr">
        <is>
          <t>LC 123/2006, art. 18, §5º-J, §5º-M e §24</t>
        </is>
      </c>
    </row>
    <row r="750">
      <c r="A750" s="5" t="inlineStr">
        <is>
          <t>MIX1-SN</t>
        </is>
      </c>
      <c r="B750" s="6" t="inlineStr">
        <is>
          <t>Alíquota efetiva - Anexo I, 4ª faixa</t>
        </is>
      </c>
      <c r="C750" s="6" t="inlineStr">
        <is>
          <t>(R$ 1.800.000,00 x 10,70% - R$ 22.500,00) / R$ 1.800.000,00 = 9,4500%</t>
        </is>
      </c>
      <c r="D750" s="19" t="n">
        <v>0.0945</v>
      </c>
      <c r="E750" s="6" t="inlineStr">
        <is>
          <t>LC 123/2006, art. 18, §1º e §1º-A</t>
        </is>
      </c>
    </row>
    <row r="751">
      <c r="A751" s="5" t="inlineStr">
        <is>
          <t>MIX1-SN</t>
        </is>
      </c>
      <c r="B751" s="6" t="inlineStr">
        <is>
          <t>DAS (Anexo I, R$ 1.200.000,00)</t>
        </is>
      </c>
      <c r="C751" s="6" t="inlineStr">
        <is>
          <t>R$ 1.200.000,00 x 9,4500%</t>
        </is>
      </c>
      <c r="D751" s="7" t="n">
        <v>113400</v>
      </c>
      <c r="E751" s="6" t="inlineStr">
        <is>
          <t>LC 123/2006, art. 13</t>
        </is>
      </c>
    </row>
    <row r="752">
      <c r="A752" s="5" t="inlineStr">
        <is>
          <t>MIX1-SN</t>
        </is>
      </c>
      <c r="B752" s="6" t="inlineStr">
        <is>
          <t>Alíquota efetiva - Anexo V, 4ª faixa</t>
        </is>
      </c>
      <c r="C752" s="6" t="inlineStr">
        <is>
          <t>(R$ 1.800.000,00 x 20,50% - R$ 17.100,00) / R$ 1.800.000,00 = 19,5500%</t>
        </is>
      </c>
      <c r="D752" s="19" t="n">
        <v>0.1955</v>
      </c>
      <c r="E752" s="6" t="inlineStr">
        <is>
          <t>LC 123/2006, art. 18, §1º e §1º-A</t>
        </is>
      </c>
    </row>
    <row r="753">
      <c r="A753" s="5" t="inlineStr">
        <is>
          <t>MIX1-SN</t>
        </is>
      </c>
      <c r="B753" s="6" t="inlineStr">
        <is>
          <t>DAS (Anexo V, R$ 600.000,00)</t>
        </is>
      </c>
      <c r="C753" s="6" t="inlineStr">
        <is>
          <t>R$ 600.000,00 x 19,5500%</t>
        </is>
      </c>
      <c r="D753" s="7" t="n">
        <v>117300</v>
      </c>
      <c r="E753" s="6" t="inlineStr">
        <is>
          <t>LC 123/2006, art. 13</t>
        </is>
      </c>
    </row>
    <row r="754">
      <c r="A754" s="5" t="inlineStr">
        <is>
          <t>MIX1-SN</t>
        </is>
      </c>
      <c r="B754" s="6" t="inlineStr">
        <is>
          <t>DAS anual</t>
        </is>
      </c>
      <c r="C754" s="6" t="inlineStr">
        <is>
          <t>R$ 113.400,00 + R$ 117.300,00</t>
        </is>
      </c>
      <c r="D754" s="7" t="n">
        <v>230700</v>
      </c>
      <c r="E754" s="6" t="inlineStr">
        <is>
          <t>LC 123/2006, art. 13 e art. 18, §§ 1º e 4º</t>
        </is>
      </c>
    </row>
    <row r="755">
      <c r="A755" s="5" t="inlineStr">
        <is>
          <t>MIX1-LP</t>
        </is>
      </c>
      <c r="B755" s="6" t="inlineStr">
        <is>
          <t>Percentuais de presunção (atividades mistas, média ponderada pela receita)</t>
        </is>
      </c>
      <c r="C755" s="6" t="inlineStr">
        <is>
          <t>Revenda de mercadorias R$ 1.200.000,00 (IRPJ 8,0%, CSLL 12,0%); Prestação de serviços em geral R$ 600.000,00 (IRPJ 32,0%, CSLL 32,0%) =&gt; IRPJ 16,00%, CSLL 18,67%</t>
        </is>
      </c>
      <c r="D755" s="19" t="n">
        <v>0.16</v>
      </c>
      <c r="E755" s="6" t="inlineStr">
        <is>
          <t>Lei 9.249/1995, art. 15, §1º e art. 20 (percentual de cada atividade)</t>
        </is>
      </c>
    </row>
    <row r="756">
      <c r="A756" s="5" t="inlineStr">
        <is>
          <t>MIX1-LP</t>
        </is>
      </c>
      <c r="B756" s="6" t="inlineStr">
        <is>
          <t>1º tri - base presumida IRPJ</t>
        </is>
      </c>
      <c r="C756" s="6" t="inlineStr">
        <is>
          <t>R$ 450.000,00 x 16,0%</t>
        </is>
      </c>
      <c r="D756" s="7" t="n">
        <v>72000</v>
      </c>
      <c r="E756" s="6" t="inlineStr">
        <is>
          <t>Lei 9.249/1995, arts. 15 e 20</t>
        </is>
      </c>
    </row>
    <row r="757">
      <c r="A757" s="5" t="inlineStr">
        <is>
          <t>MIX1-LP</t>
        </is>
      </c>
      <c r="B757" s="6" t="inlineStr">
        <is>
          <t>1º tri - IRPJ</t>
        </is>
      </c>
      <c r="C757" s="6" t="inlineStr">
        <is>
          <t>R$ 72.000,00 x 15% + adicional 10% sobre o que exceder R$ 60.000,00</t>
        </is>
      </c>
      <c r="D757" s="7" t="n">
        <v>12000</v>
      </c>
      <c r="E757" s="6" t="inlineStr">
        <is>
          <t>Lei 9.430/1996, arts. 3º e 4º</t>
        </is>
      </c>
    </row>
    <row r="758">
      <c r="A758" s="5" t="inlineStr">
        <is>
          <t>MIX1-LP</t>
        </is>
      </c>
      <c r="B758" s="6" t="inlineStr">
        <is>
          <t>1º tri - base presumida CSLL</t>
        </is>
      </c>
      <c r="C758" s="6" t="inlineStr">
        <is>
          <t>R$ 450.000,00 x 18,7%</t>
        </is>
      </c>
      <c r="D758" s="7" t="n">
        <v>84000</v>
      </c>
      <c r="E758" s="6" t="inlineStr">
        <is>
          <t>Lei 9.249/1995, arts. 15 e 20</t>
        </is>
      </c>
    </row>
    <row r="759">
      <c r="A759" s="5" t="inlineStr">
        <is>
          <t>MIX1-LP</t>
        </is>
      </c>
      <c r="B759" s="6" t="inlineStr">
        <is>
          <t>1º tri - CSLL</t>
        </is>
      </c>
      <c r="C759" s="6" t="inlineStr">
        <is>
          <t>R$ 84.000,00 x 9%</t>
        </is>
      </c>
      <c r="D759" s="7" t="n">
        <v>7560</v>
      </c>
      <c r="E759" s="6" t="inlineStr">
        <is>
          <t>Lei 7.689/1988, art. 3º</t>
        </is>
      </c>
    </row>
    <row r="760">
      <c r="A760" s="5" t="inlineStr">
        <is>
          <t>MIX1-LP</t>
        </is>
      </c>
      <c r="B760" s="6" t="inlineStr">
        <is>
          <t>2º tri - base presumida IRPJ</t>
        </is>
      </c>
      <c r="C760" s="6" t="inlineStr">
        <is>
          <t>R$ 450.000,00 x 16,0%</t>
        </is>
      </c>
      <c r="D760" s="7" t="n">
        <v>72000</v>
      </c>
      <c r="E760" s="6" t="inlineStr">
        <is>
          <t>Lei 9.249/1995, arts. 15 e 20</t>
        </is>
      </c>
    </row>
    <row r="761">
      <c r="A761" s="5" t="inlineStr">
        <is>
          <t>MIX1-LP</t>
        </is>
      </c>
      <c r="B761" s="6" t="inlineStr">
        <is>
          <t>2º tri - IRPJ</t>
        </is>
      </c>
      <c r="C761" s="6" t="inlineStr">
        <is>
          <t>R$ 72.000,00 x 15% + adicional 10% sobre o que exceder R$ 60.000,00</t>
        </is>
      </c>
      <c r="D761" s="7" t="n">
        <v>12000</v>
      </c>
      <c r="E761" s="6" t="inlineStr">
        <is>
          <t>Lei 9.430/1996, arts. 3º e 4º</t>
        </is>
      </c>
    </row>
    <row r="762">
      <c r="A762" s="5" t="inlineStr">
        <is>
          <t>MIX1-LP</t>
        </is>
      </c>
      <c r="B762" s="6" t="inlineStr">
        <is>
          <t>2º tri - base presumida CSLL</t>
        </is>
      </c>
      <c r="C762" s="6" t="inlineStr">
        <is>
          <t>R$ 450.000,00 x 18,7%</t>
        </is>
      </c>
      <c r="D762" s="7" t="n">
        <v>84000</v>
      </c>
      <c r="E762" s="6" t="inlineStr">
        <is>
          <t>Lei 9.249/1995, arts. 15 e 20</t>
        </is>
      </c>
    </row>
    <row r="763">
      <c r="A763" s="5" t="inlineStr">
        <is>
          <t>MIX1-LP</t>
        </is>
      </c>
      <c r="B763" s="6" t="inlineStr">
        <is>
          <t>2º tri - CSLL</t>
        </is>
      </c>
      <c r="C763" s="6" t="inlineStr">
        <is>
          <t>R$ 84.000,00 x 9%</t>
        </is>
      </c>
      <c r="D763" s="7" t="n">
        <v>7560</v>
      </c>
      <c r="E763" s="6" t="inlineStr">
        <is>
          <t>Lei 7.689/1988, art. 3º</t>
        </is>
      </c>
    </row>
    <row r="764">
      <c r="A764" s="5" t="inlineStr">
        <is>
          <t>MIX1-LP</t>
        </is>
      </c>
      <c r="B764" s="6" t="inlineStr">
        <is>
          <t>3º tri - base presumida IRPJ</t>
        </is>
      </c>
      <c r="C764" s="6" t="inlineStr">
        <is>
          <t>R$ 450.000,00 x 16,0%</t>
        </is>
      </c>
      <c r="D764" s="7" t="n">
        <v>72000</v>
      </c>
      <c r="E764" s="6" t="inlineStr">
        <is>
          <t>Lei 9.249/1995, arts. 15 e 20</t>
        </is>
      </c>
    </row>
    <row r="765">
      <c r="A765" s="5" t="inlineStr">
        <is>
          <t>MIX1-LP</t>
        </is>
      </c>
      <c r="B765" s="6" t="inlineStr">
        <is>
          <t>3º tri - IRPJ</t>
        </is>
      </c>
      <c r="C765" s="6" t="inlineStr">
        <is>
          <t>R$ 72.000,00 x 15% + adicional 10% sobre o que exceder R$ 60.000,00</t>
        </is>
      </c>
      <c r="D765" s="7" t="n">
        <v>12000</v>
      </c>
      <c r="E765" s="6" t="inlineStr">
        <is>
          <t>Lei 9.430/1996, arts. 3º e 4º</t>
        </is>
      </c>
    </row>
    <row r="766">
      <c r="A766" s="5" t="inlineStr">
        <is>
          <t>MIX1-LP</t>
        </is>
      </c>
      <c r="B766" s="6" t="inlineStr">
        <is>
          <t>3º tri - base presumida CSLL</t>
        </is>
      </c>
      <c r="C766" s="6" t="inlineStr">
        <is>
          <t>R$ 450.000,00 x 18,7%</t>
        </is>
      </c>
      <c r="D766" s="7" t="n">
        <v>84000</v>
      </c>
      <c r="E766" s="6" t="inlineStr">
        <is>
          <t>Lei 9.249/1995, arts. 15 e 20</t>
        </is>
      </c>
    </row>
    <row r="767">
      <c r="A767" s="5" t="inlineStr">
        <is>
          <t>MIX1-LP</t>
        </is>
      </c>
      <c r="B767" s="6" t="inlineStr">
        <is>
          <t>3º tri - CSLL</t>
        </is>
      </c>
      <c r="C767" s="6" t="inlineStr">
        <is>
          <t>R$ 84.000,00 x 9%</t>
        </is>
      </c>
      <c r="D767" s="7" t="n">
        <v>7560</v>
      </c>
      <c r="E767" s="6" t="inlineStr">
        <is>
          <t>Lei 7.689/1988, art. 3º</t>
        </is>
      </c>
    </row>
    <row r="768">
      <c r="A768" s="5" t="inlineStr">
        <is>
          <t>MIX1-LP</t>
        </is>
      </c>
      <c r="B768" s="6" t="inlineStr">
        <is>
          <t>4º tri - base presumida IRPJ</t>
        </is>
      </c>
      <c r="C768" s="6" t="inlineStr">
        <is>
          <t>R$ 450.000,00 x 16,0%</t>
        </is>
      </c>
      <c r="D768" s="7" t="n">
        <v>72000</v>
      </c>
      <c r="E768" s="6" t="inlineStr">
        <is>
          <t>Lei 9.249/1995, arts. 15 e 20</t>
        </is>
      </c>
    </row>
    <row r="769">
      <c r="A769" s="5" t="inlineStr">
        <is>
          <t>MIX1-LP</t>
        </is>
      </c>
      <c r="B769" s="6" t="inlineStr">
        <is>
          <t>4º tri - IRPJ</t>
        </is>
      </c>
      <c r="C769" s="6" t="inlineStr">
        <is>
          <t>R$ 72.000,00 x 15% + adicional 10% sobre o que exceder R$ 60.000,00</t>
        </is>
      </c>
      <c r="D769" s="7" t="n">
        <v>12000</v>
      </c>
      <c r="E769" s="6" t="inlineStr">
        <is>
          <t>Lei 9.430/1996, arts. 3º e 4º</t>
        </is>
      </c>
    </row>
    <row r="770">
      <c r="A770" s="5" t="inlineStr">
        <is>
          <t>MIX1-LP</t>
        </is>
      </c>
      <c r="B770" s="6" t="inlineStr">
        <is>
          <t>4º tri - base presumida CSLL</t>
        </is>
      </c>
      <c r="C770" s="6" t="inlineStr">
        <is>
          <t>R$ 450.000,00 x 18,7%</t>
        </is>
      </c>
      <c r="D770" s="7" t="n">
        <v>84000</v>
      </c>
      <c r="E770" s="6" t="inlineStr">
        <is>
          <t>Lei 9.249/1995, arts. 15 e 20</t>
        </is>
      </c>
    </row>
    <row r="771">
      <c r="A771" s="5" t="inlineStr">
        <is>
          <t>MIX1-LP</t>
        </is>
      </c>
      <c r="B771" s="6" t="inlineStr">
        <is>
          <t>4º tri - CSLL</t>
        </is>
      </c>
      <c r="C771" s="6" t="inlineStr">
        <is>
          <t>R$ 84.000,00 x 9%</t>
        </is>
      </c>
      <c r="D771" s="7" t="n">
        <v>7560</v>
      </c>
      <c r="E771" s="6" t="inlineStr">
        <is>
          <t>Lei 7.689/1988, art. 3º</t>
        </is>
      </c>
    </row>
    <row r="772">
      <c r="A772" s="5" t="inlineStr">
        <is>
          <t>MIX1-LP</t>
        </is>
      </c>
      <c r="B772" s="6" t="inlineStr">
        <is>
          <t>PIS cumulativo</t>
        </is>
      </c>
      <c r="C772" s="6" t="inlineStr">
        <is>
          <t>R$ 1.800.000,00 x 0,65%</t>
        </is>
      </c>
      <c r="D772" s="7" t="n">
        <v>11700</v>
      </c>
      <c r="E772" s="6" t="inlineStr">
        <is>
          <t>Lei 9.715/1998</t>
        </is>
      </c>
    </row>
    <row r="773">
      <c r="A773" s="5" t="inlineStr">
        <is>
          <t>MIX1-LP</t>
        </is>
      </c>
      <c r="B773" s="6" t="inlineStr">
        <is>
          <t>Cofins cumulativa</t>
        </is>
      </c>
      <c r="C773" s="6" t="inlineStr">
        <is>
          <t>R$ 1.800.000,00 x 3,00%</t>
        </is>
      </c>
      <c r="D773" s="7" t="n">
        <v>54000</v>
      </c>
      <c r="E773" s="6" t="inlineStr">
        <is>
          <t>Lei 9.718/1998</t>
        </is>
      </c>
    </row>
    <row r="774">
      <c r="A774" s="5" t="inlineStr">
        <is>
          <t>MIX1-LP</t>
        </is>
      </c>
      <c r="B774" s="6" t="inlineStr">
        <is>
          <t>ICMS - débito nas vendas</t>
        </is>
      </c>
      <c r="C774" s="6" t="inlineStr">
        <is>
          <t>R$ 1.200.000,00 x 18,00%</t>
        </is>
      </c>
      <c r="D774" s="7" t="n">
        <v>216000</v>
      </c>
      <c r="E774" s="6" t="inlineStr">
        <is>
          <t>LC 87/1996 e legislação estadual</t>
        </is>
      </c>
    </row>
    <row r="775">
      <c r="A775" s="5" t="inlineStr">
        <is>
          <t>MIX1-LP</t>
        </is>
      </c>
      <c r="B775" s="6" t="inlineStr">
        <is>
          <t>ICMS - crédito nas compras</t>
        </is>
      </c>
      <c r="C775" s="6" t="inlineStr">
        <is>
          <t>R$ 700.000,00 x 18,00%</t>
        </is>
      </c>
      <c r="D775" s="7" t="n">
        <v>126000</v>
      </c>
      <c r="E775" s="6" t="inlineStr">
        <is>
          <t>LC 87/1996, art. 20 (não cumulatividade)</t>
        </is>
      </c>
    </row>
    <row r="776">
      <c r="A776" s="5" t="inlineStr">
        <is>
          <t>MIX1-LP</t>
        </is>
      </c>
      <c r="B776" s="6" t="inlineStr">
        <is>
          <t>ICMS a recolher</t>
        </is>
      </c>
      <c r="C776" s="6" t="inlineStr">
        <is>
          <t>máx(0; débito - crédito)</t>
        </is>
      </c>
      <c r="D776" s="7" t="n">
        <v>90000</v>
      </c>
      <c r="E776" s="6" t="inlineStr"/>
    </row>
    <row r="777">
      <c r="A777" s="5" t="inlineStr">
        <is>
          <t>MIX1-LP</t>
        </is>
      </c>
      <c r="B777" s="6" t="inlineStr">
        <is>
          <t>ISS</t>
        </is>
      </c>
      <c r="C777" s="6" t="inlineStr">
        <is>
          <t>R$ 600.000,00 x 5,00%</t>
        </is>
      </c>
      <c r="D777" s="7" t="n">
        <v>30000</v>
      </c>
      <c r="E777" s="6" t="inlineStr">
        <is>
          <t>LC 116/2003 e lei municipal</t>
        </is>
      </c>
    </row>
    <row r="778">
      <c r="A778" s="5" t="inlineStr">
        <is>
          <t>MIX1-LP</t>
        </is>
      </c>
      <c r="B778" s="6" t="inlineStr">
        <is>
          <t>INSS patronal sobre a folha CLT</t>
        </is>
      </c>
      <c r="C778" s="6" t="inlineStr">
        <is>
          <t>R$ 240.000,00 x (20,00% CPP + 2,00% RAT + 5,80% terceiros)</t>
        </is>
      </c>
      <c r="D778" s="7" t="n">
        <v>66720</v>
      </c>
      <c r="E778" s="6" t="inlineStr">
        <is>
          <t>Lei 8.212/1991, art. 22, I e II</t>
        </is>
      </c>
    </row>
    <row r="779">
      <c r="A779" s="5" t="inlineStr">
        <is>
          <t>MIX1-LP</t>
        </is>
      </c>
      <c r="B779" s="6" t="inlineStr">
        <is>
          <t>INSS patronal sobre o pró-labore</t>
        </is>
      </c>
      <c r="C779" s="6" t="inlineStr">
        <is>
          <t>R$ 60.000,00 x 20,00%</t>
        </is>
      </c>
      <c r="D779" s="7" t="n">
        <v>12000</v>
      </c>
      <c r="E779" s="6" t="inlineStr">
        <is>
          <t>Lei 8.212/1991, art. 22, III</t>
        </is>
      </c>
    </row>
    <row r="780">
      <c r="A780" s="5" t="inlineStr">
        <is>
          <t>MIX1-LR</t>
        </is>
      </c>
      <c r="B780" s="6" t="inlineStr">
        <is>
          <t>PIS - débito</t>
        </is>
      </c>
      <c r="C780" s="6" t="inlineStr">
        <is>
          <t>R$ 1.800.000,00 x 1,65%</t>
        </is>
      </c>
      <c r="D780" s="7" t="n">
        <v>29700</v>
      </c>
      <c r="E780" s="6" t="inlineStr">
        <is>
          <t>Lei 10.637/2002</t>
        </is>
      </c>
    </row>
    <row r="781">
      <c r="A781" s="5" t="inlineStr">
        <is>
          <t>MIX1-LR</t>
        </is>
      </c>
      <c r="B781" s="6" t="inlineStr">
        <is>
          <t>PIS - crédito</t>
        </is>
      </c>
      <c r="C781" s="6" t="inlineStr">
        <is>
          <t>(R$ 700.000,00 compras + R$ 0,00 despesas creditáveis) x 1,65%</t>
        </is>
      </c>
      <c r="D781" s="7" t="n">
        <v>11550</v>
      </c>
      <c r="E781" s="6" t="inlineStr">
        <is>
          <t>Lei 10.637/2002, art. 3º</t>
        </is>
      </c>
    </row>
    <row r="782">
      <c r="A782" s="5" t="inlineStr">
        <is>
          <t>MIX1-LR</t>
        </is>
      </c>
      <c r="B782" s="6" t="inlineStr">
        <is>
          <t>Cofins - débito</t>
        </is>
      </c>
      <c r="C782" s="6" t="inlineStr">
        <is>
          <t>R$ 1.800.000,00 x 7,60%</t>
        </is>
      </c>
      <c r="D782" s="7" t="n">
        <v>136800</v>
      </c>
      <c r="E782" s="6" t="inlineStr">
        <is>
          <t>Lei 10.833/2003</t>
        </is>
      </c>
    </row>
    <row r="783">
      <c r="A783" s="5" t="inlineStr">
        <is>
          <t>MIX1-LR</t>
        </is>
      </c>
      <c r="B783" s="6" t="inlineStr">
        <is>
          <t>Cofins - crédito</t>
        </is>
      </c>
      <c r="C783" s="6" t="inlineStr">
        <is>
          <t>(R$ 700.000,00 compras + R$ 0,00 despesas creditáveis) x 7,60%</t>
        </is>
      </c>
      <c r="D783" s="7" t="n">
        <v>53200</v>
      </c>
      <c r="E783" s="6" t="inlineStr">
        <is>
          <t>Lei 10.833/2003, art. 3º</t>
        </is>
      </c>
    </row>
    <row r="784">
      <c r="A784" s="5" t="inlineStr">
        <is>
          <t>MIX1-LR</t>
        </is>
      </c>
      <c r="B784" s="6" t="inlineStr">
        <is>
          <t>ICMS - débito nas vendas</t>
        </is>
      </c>
      <c r="C784" s="6" t="inlineStr">
        <is>
          <t>R$ 1.200.000,00 x 18,00%</t>
        </is>
      </c>
      <c r="D784" s="7" t="n">
        <v>216000</v>
      </c>
      <c r="E784" s="6" t="inlineStr">
        <is>
          <t>LC 87/1996 e legislação estadual</t>
        </is>
      </c>
    </row>
    <row r="785">
      <c r="A785" s="5" t="inlineStr">
        <is>
          <t>MIX1-LR</t>
        </is>
      </c>
      <c r="B785" s="6" t="inlineStr">
        <is>
          <t>ICMS - crédito nas compras</t>
        </is>
      </c>
      <c r="C785" s="6" t="inlineStr">
        <is>
          <t>R$ 700.000,00 x 18,00%</t>
        </is>
      </c>
      <c r="D785" s="7" t="n">
        <v>126000</v>
      </c>
      <c r="E785" s="6" t="inlineStr">
        <is>
          <t>LC 87/1996, art. 20 (não cumulatividade)</t>
        </is>
      </c>
    </row>
    <row r="786">
      <c r="A786" s="5" t="inlineStr">
        <is>
          <t>MIX1-LR</t>
        </is>
      </c>
      <c r="B786" s="6" t="inlineStr">
        <is>
          <t>ICMS a recolher</t>
        </is>
      </c>
      <c r="C786" s="6" t="inlineStr">
        <is>
          <t>máx(0; débito - crédito)</t>
        </is>
      </c>
      <c r="D786" s="7" t="n">
        <v>90000</v>
      </c>
      <c r="E786" s="6" t="inlineStr"/>
    </row>
    <row r="787">
      <c r="A787" s="5" t="inlineStr">
        <is>
          <t>MIX1-LR</t>
        </is>
      </c>
      <c r="B787" s="6" t="inlineStr">
        <is>
          <t>ISS</t>
        </is>
      </c>
      <c r="C787" s="6" t="inlineStr">
        <is>
          <t>R$ 600.000,00 x 5,00%</t>
        </is>
      </c>
      <c r="D787" s="7" t="n">
        <v>30000</v>
      </c>
      <c r="E787" s="6" t="inlineStr">
        <is>
          <t>LC 116/2003 e lei municipal</t>
        </is>
      </c>
    </row>
    <row r="788">
      <c r="A788" s="5" t="inlineStr">
        <is>
          <t>MIX1-LR</t>
        </is>
      </c>
      <c r="B788" s="6" t="inlineStr">
        <is>
          <t>INSS patronal sobre a folha CLT</t>
        </is>
      </c>
      <c r="C788" s="6" t="inlineStr">
        <is>
          <t>R$ 240.000,00 x (20,00% CPP + 2,00% RAT + 5,80% terceiros)</t>
        </is>
      </c>
      <c r="D788" s="7" t="n">
        <v>66720</v>
      </c>
      <c r="E788" s="6" t="inlineStr">
        <is>
          <t>Lei 8.212/1991, art. 22, I e II</t>
        </is>
      </c>
    </row>
    <row r="789">
      <c r="A789" s="5" t="inlineStr">
        <is>
          <t>MIX1-LR</t>
        </is>
      </c>
      <c r="B789" s="6" t="inlineStr">
        <is>
          <t>INSS patronal sobre o pró-labore</t>
        </is>
      </c>
      <c r="C789" s="6" t="inlineStr">
        <is>
          <t>R$ 60.000,00 x 20,00%</t>
        </is>
      </c>
      <c r="D789" s="7" t="n">
        <v>12000</v>
      </c>
      <c r="E789" s="6" t="inlineStr">
        <is>
          <t>Lei 8.212/1991, art. 22, III</t>
        </is>
      </c>
    </row>
    <row r="790">
      <c r="A790" s="5" t="inlineStr">
        <is>
          <t>MIX1-LR</t>
        </is>
      </c>
      <c r="B790" s="6" t="inlineStr">
        <is>
          <t>Lucro antes do IRPJ/CSLL</t>
        </is>
      </c>
      <c r="C790" s="6" t="inlineStr">
        <is>
          <t>R$ 1.800.000,00 receita - R$ 700.000,00 compras - R$ 0,00 despesas - R$ 300.000,00 folha e pró-labore - R$ 19.200,00 FGTS - R$ 300.470,00 tributos dedutíveis</t>
        </is>
      </c>
      <c r="D790" s="7" t="n">
        <v>480330</v>
      </c>
      <c r="E790" s="6" t="inlineStr">
        <is>
          <t>Lei 6.404/1976 (DRE)</t>
        </is>
      </c>
    </row>
    <row r="791">
      <c r="A791" s="5" t="inlineStr">
        <is>
          <t>MIX1-LR</t>
        </is>
      </c>
      <c r="B791" s="6" t="inlineStr">
        <is>
          <t>IRPJ</t>
        </is>
      </c>
      <c r="C791" s="6" t="inlineStr">
        <is>
          <t>R$ 480.330,00 x 15% + 10% sobre o que exceder R$ 240.000,00</t>
        </is>
      </c>
      <c r="D791" s="7" t="n">
        <v>96082.5</v>
      </c>
      <c r="E791" s="6" t="inlineStr">
        <is>
          <t>Lei 9.249/1995, art. 3º; Lei 9.430/1996, art. 2º</t>
        </is>
      </c>
    </row>
    <row r="792">
      <c r="A792" s="5" t="inlineStr">
        <is>
          <t>MIX1-LR</t>
        </is>
      </c>
      <c r="B792" s="6" t="inlineStr">
        <is>
          <t>CSLL</t>
        </is>
      </c>
      <c r="C792" s="6" t="inlineStr">
        <is>
          <t>R$ 480.330,00 x 9%</t>
        </is>
      </c>
      <c r="D792" s="7" t="n">
        <v>43229.7</v>
      </c>
      <c r="E792" s="6" t="inlineStr">
        <is>
          <t>Lei 7.689/1988, art. 3º</t>
        </is>
      </c>
    </row>
    <row r="793">
      <c r="A793" s="5" t="inlineStr">
        <is>
          <t>MIX2-SN</t>
        </is>
      </c>
      <c r="B793" s="6" t="inlineStr">
        <is>
          <t>Alíquota efetiva - Anexo IV, 4ª faixa</t>
        </is>
      </c>
      <c r="C793" s="6" t="inlineStr">
        <is>
          <t>(R$ 900.000,00 x 14,00% - R$ 39.780,00) / R$ 900.000,00 = 9,5800%</t>
        </is>
      </c>
      <c r="D793" s="19" t="n">
        <v>0.0958</v>
      </c>
      <c r="E793" s="6" t="inlineStr">
        <is>
          <t>LC 123/2006, art. 18, §1º e §1º-A</t>
        </is>
      </c>
    </row>
    <row r="794">
      <c r="A794" s="5" t="inlineStr">
        <is>
          <t>MIX2-SN</t>
        </is>
      </c>
      <c r="B794" s="6" t="inlineStr">
        <is>
          <t>DAS (Anexo IV, R$ 600.000,00)</t>
        </is>
      </c>
      <c r="C794" s="6" t="inlineStr">
        <is>
          <t>R$ 600.000,00 x 9,5800%</t>
        </is>
      </c>
      <c r="D794" s="7" t="n">
        <v>57480</v>
      </c>
      <c r="E794" s="6" t="inlineStr">
        <is>
          <t>LC 123/2006, art. 13</t>
        </is>
      </c>
    </row>
    <row r="795">
      <c r="A795" s="5" t="inlineStr">
        <is>
          <t>MIX2-SN</t>
        </is>
      </c>
      <c r="B795" s="6" t="inlineStr">
        <is>
          <t>Alíquota efetiva - Anexo I, 4ª faixa</t>
        </is>
      </c>
      <c r="C795" s="6" t="inlineStr">
        <is>
          <t>(R$ 900.000,00 x 10,70% - R$ 22.500,00) / R$ 900.000,00 = 8,2000%</t>
        </is>
      </c>
      <c r="D795" s="19" t="n">
        <v>0.082</v>
      </c>
      <c r="E795" s="6" t="inlineStr">
        <is>
          <t>LC 123/2006, art. 18, §1º e §1º-A</t>
        </is>
      </c>
    </row>
    <row r="796">
      <c r="A796" s="5" t="inlineStr">
        <is>
          <t>MIX2-SN</t>
        </is>
      </c>
      <c r="B796" s="6" t="inlineStr">
        <is>
          <t>DAS (Anexo I, R$ 300.000,00)</t>
        </is>
      </c>
      <c r="C796" s="6" t="inlineStr">
        <is>
          <t>R$ 300.000,00 x 8,2000%</t>
        </is>
      </c>
      <c r="D796" s="7" t="n">
        <v>24600</v>
      </c>
      <c r="E796" s="6" t="inlineStr">
        <is>
          <t>LC 123/2006, art. 13</t>
        </is>
      </c>
    </row>
    <row r="797">
      <c r="A797" s="5" t="inlineStr">
        <is>
          <t>MIX2-SN</t>
        </is>
      </c>
      <c r="B797" s="6" t="inlineStr">
        <is>
          <t>DAS anual</t>
        </is>
      </c>
      <c r="C797" s="6" t="inlineStr">
        <is>
          <t>R$ 57.480,00 + R$ 24.600,00</t>
        </is>
      </c>
      <c r="D797" s="7" t="n">
        <v>82080</v>
      </c>
      <c r="E797" s="6" t="inlineStr">
        <is>
          <t>LC 123/2006, art. 13 e art. 18, §§ 1º e 4º</t>
        </is>
      </c>
    </row>
    <row r="798">
      <c r="A798" s="5" t="inlineStr">
        <is>
          <t>MIX2-SN</t>
        </is>
      </c>
      <c r="B798" s="6" t="inlineStr">
        <is>
          <t>CPP fora do DAS (Anexo IV)</t>
        </is>
      </c>
      <c r="C798" s="6" t="inlineStr">
        <is>
          <t>(R$ 120.000,00 x (20,00% + 2,00% RAT) + R$ 36.000,00 x 20,00%) x 66,67% da receita no Anexo IV</t>
        </is>
      </c>
      <c r="D798" s="7" t="n">
        <v>22400</v>
      </c>
      <c r="E798" s="6" t="inlineStr">
        <is>
          <t>LC 123/2006, art. 18, §5º-C e art. 13, VI</t>
        </is>
      </c>
    </row>
    <row r="799">
      <c r="A799" s="5" t="inlineStr">
        <is>
          <t>MIX2-LP</t>
        </is>
      </c>
      <c r="B799" s="6" t="inlineStr">
        <is>
          <t>Percentuais de presunção (atividades mistas, média ponderada pela receita)</t>
        </is>
      </c>
      <c r="C799" s="6" t="inlineStr">
        <is>
          <t>Prestação de serviços em geral R$ 600.000,00 (IRPJ 32,0%, CSLL 32,0%); Revenda de mercadorias R$ 300.000,00 (IRPJ 8,0%, CSLL 12,0%) =&gt; IRPJ 24,00%, CSLL 25,33%</t>
        </is>
      </c>
      <c r="D799" s="19" t="n">
        <v>0.24</v>
      </c>
      <c r="E799" s="6" t="inlineStr">
        <is>
          <t>Lei 9.249/1995, art. 15, §1º e art. 20 (percentual de cada atividade)</t>
        </is>
      </c>
    </row>
    <row r="800">
      <c r="A800" s="5" t="inlineStr">
        <is>
          <t>MIX2-LP</t>
        </is>
      </c>
      <c r="B800" s="6" t="inlineStr">
        <is>
          <t>1º tri - base presumida IRPJ</t>
        </is>
      </c>
      <c r="C800" s="6" t="inlineStr">
        <is>
          <t>R$ 225.000,00 x 24,0%</t>
        </is>
      </c>
      <c r="D800" s="7" t="n">
        <v>54000</v>
      </c>
      <c r="E800" s="6" t="inlineStr">
        <is>
          <t>Lei 9.249/1995, arts. 15 e 20</t>
        </is>
      </c>
    </row>
    <row r="801">
      <c r="A801" s="5" t="inlineStr">
        <is>
          <t>MIX2-LP</t>
        </is>
      </c>
      <c r="B801" s="6" t="inlineStr">
        <is>
          <t>1º tri - IRPJ</t>
        </is>
      </c>
      <c r="C801" s="6" t="inlineStr">
        <is>
          <t>R$ 54.000,00 x 15% + adicional 10% sobre o que exceder R$ 60.000,00</t>
        </is>
      </c>
      <c r="D801" s="7" t="n">
        <v>8100</v>
      </c>
      <c r="E801" s="6" t="inlineStr">
        <is>
          <t>Lei 9.430/1996, arts. 3º e 4º</t>
        </is>
      </c>
    </row>
    <row r="802">
      <c r="A802" s="5" t="inlineStr">
        <is>
          <t>MIX2-LP</t>
        </is>
      </c>
      <c r="B802" s="6" t="inlineStr">
        <is>
          <t>1º tri - base presumida CSLL</t>
        </is>
      </c>
      <c r="C802" s="6" t="inlineStr">
        <is>
          <t>R$ 225.000,00 x 25,3%</t>
        </is>
      </c>
      <c r="D802" s="7" t="n">
        <v>57000</v>
      </c>
      <c r="E802" s="6" t="inlineStr">
        <is>
          <t>Lei 9.249/1995, arts. 15 e 20</t>
        </is>
      </c>
    </row>
    <row r="803">
      <c r="A803" s="5" t="inlineStr">
        <is>
          <t>MIX2-LP</t>
        </is>
      </c>
      <c r="B803" s="6" t="inlineStr">
        <is>
          <t>1º tri - CSLL</t>
        </is>
      </c>
      <c r="C803" s="6" t="inlineStr">
        <is>
          <t>R$ 57.000,00 x 9%</t>
        </is>
      </c>
      <c r="D803" s="7" t="n">
        <v>5130</v>
      </c>
      <c r="E803" s="6" t="inlineStr">
        <is>
          <t>Lei 7.689/1988, art. 3º</t>
        </is>
      </c>
    </row>
    <row r="804">
      <c r="A804" s="5" t="inlineStr">
        <is>
          <t>MIX2-LP</t>
        </is>
      </c>
      <c r="B804" s="6" t="inlineStr">
        <is>
          <t>2º tri - base presumida IRPJ</t>
        </is>
      </c>
      <c r="C804" s="6" t="inlineStr">
        <is>
          <t>R$ 225.000,00 x 24,0%</t>
        </is>
      </c>
      <c r="D804" s="7" t="n">
        <v>54000</v>
      </c>
      <c r="E804" s="6" t="inlineStr">
        <is>
          <t>Lei 9.249/1995, arts. 15 e 20</t>
        </is>
      </c>
    </row>
    <row r="805">
      <c r="A805" s="5" t="inlineStr">
        <is>
          <t>MIX2-LP</t>
        </is>
      </c>
      <c r="B805" s="6" t="inlineStr">
        <is>
          <t>2º tri - IRPJ</t>
        </is>
      </c>
      <c r="C805" s="6" t="inlineStr">
        <is>
          <t>R$ 54.000,00 x 15% + adicional 10% sobre o que exceder R$ 60.000,00</t>
        </is>
      </c>
      <c r="D805" s="7" t="n">
        <v>8100</v>
      </c>
      <c r="E805" s="6" t="inlineStr">
        <is>
          <t>Lei 9.430/1996, arts. 3º e 4º</t>
        </is>
      </c>
    </row>
    <row r="806">
      <c r="A806" s="5" t="inlineStr">
        <is>
          <t>MIX2-LP</t>
        </is>
      </c>
      <c r="B806" s="6" t="inlineStr">
        <is>
          <t>2º tri - base presumida CSLL</t>
        </is>
      </c>
      <c r="C806" s="6" t="inlineStr">
        <is>
          <t>R$ 225.000,00 x 25,3%</t>
        </is>
      </c>
      <c r="D806" s="7" t="n">
        <v>57000</v>
      </c>
      <c r="E806" s="6" t="inlineStr">
        <is>
          <t>Lei 9.249/1995, arts. 15 e 20</t>
        </is>
      </c>
    </row>
    <row r="807">
      <c r="A807" s="5" t="inlineStr">
        <is>
          <t>MIX2-LP</t>
        </is>
      </c>
      <c r="B807" s="6" t="inlineStr">
        <is>
          <t>2º tri - CSLL</t>
        </is>
      </c>
      <c r="C807" s="6" t="inlineStr">
        <is>
          <t>R$ 57.000,00 x 9%</t>
        </is>
      </c>
      <c r="D807" s="7" t="n">
        <v>5130</v>
      </c>
      <c r="E807" s="6" t="inlineStr">
        <is>
          <t>Lei 7.689/1988, art. 3º</t>
        </is>
      </c>
    </row>
    <row r="808">
      <c r="A808" s="5" t="inlineStr">
        <is>
          <t>MIX2-LP</t>
        </is>
      </c>
      <c r="B808" s="6" t="inlineStr">
        <is>
          <t>3º tri - base presumida IRPJ</t>
        </is>
      </c>
      <c r="C808" s="6" t="inlineStr">
        <is>
          <t>R$ 225.000,00 x 24,0%</t>
        </is>
      </c>
      <c r="D808" s="7" t="n">
        <v>54000</v>
      </c>
      <c r="E808" s="6" t="inlineStr">
        <is>
          <t>Lei 9.249/1995, arts. 15 e 20</t>
        </is>
      </c>
    </row>
    <row r="809">
      <c r="A809" s="5" t="inlineStr">
        <is>
          <t>MIX2-LP</t>
        </is>
      </c>
      <c r="B809" s="6" t="inlineStr">
        <is>
          <t>3º tri - IRPJ</t>
        </is>
      </c>
      <c r="C809" s="6" t="inlineStr">
        <is>
          <t>R$ 54.000,00 x 15% + adicional 10% sobre o que exceder R$ 60.000,00</t>
        </is>
      </c>
      <c r="D809" s="7" t="n">
        <v>8100</v>
      </c>
      <c r="E809" s="6" t="inlineStr">
        <is>
          <t>Lei 9.430/1996, arts. 3º e 4º</t>
        </is>
      </c>
    </row>
    <row r="810">
      <c r="A810" s="5" t="inlineStr">
        <is>
          <t>MIX2-LP</t>
        </is>
      </c>
      <c r="B810" s="6" t="inlineStr">
        <is>
          <t>3º tri - base presumida CSLL</t>
        </is>
      </c>
      <c r="C810" s="6" t="inlineStr">
        <is>
          <t>R$ 225.000,00 x 25,3%</t>
        </is>
      </c>
      <c r="D810" s="7" t="n">
        <v>57000</v>
      </c>
      <c r="E810" s="6" t="inlineStr">
        <is>
          <t>Lei 9.249/1995, arts. 15 e 20</t>
        </is>
      </c>
    </row>
    <row r="811">
      <c r="A811" s="5" t="inlineStr">
        <is>
          <t>MIX2-LP</t>
        </is>
      </c>
      <c r="B811" s="6" t="inlineStr">
        <is>
          <t>3º tri - CSLL</t>
        </is>
      </c>
      <c r="C811" s="6" t="inlineStr">
        <is>
          <t>R$ 57.000,00 x 9%</t>
        </is>
      </c>
      <c r="D811" s="7" t="n">
        <v>5130</v>
      </c>
      <c r="E811" s="6" t="inlineStr">
        <is>
          <t>Lei 7.689/1988, art. 3º</t>
        </is>
      </c>
    </row>
    <row r="812">
      <c r="A812" s="5" t="inlineStr">
        <is>
          <t>MIX2-LP</t>
        </is>
      </c>
      <c r="B812" s="6" t="inlineStr">
        <is>
          <t>4º tri - base presumida IRPJ</t>
        </is>
      </c>
      <c r="C812" s="6" t="inlineStr">
        <is>
          <t>R$ 225.000,00 x 24,0%</t>
        </is>
      </c>
      <c r="D812" s="7" t="n">
        <v>54000</v>
      </c>
      <c r="E812" s="6" t="inlineStr">
        <is>
          <t>Lei 9.249/1995, arts. 15 e 20</t>
        </is>
      </c>
    </row>
    <row r="813">
      <c r="A813" s="5" t="inlineStr">
        <is>
          <t>MIX2-LP</t>
        </is>
      </c>
      <c r="B813" s="6" t="inlineStr">
        <is>
          <t>4º tri - IRPJ</t>
        </is>
      </c>
      <c r="C813" s="6" t="inlineStr">
        <is>
          <t>R$ 54.000,00 x 15% + adicional 10% sobre o que exceder R$ 60.000,00</t>
        </is>
      </c>
      <c r="D813" s="7" t="n">
        <v>8100</v>
      </c>
      <c r="E813" s="6" t="inlineStr">
        <is>
          <t>Lei 9.430/1996, arts. 3º e 4º</t>
        </is>
      </c>
    </row>
    <row r="814">
      <c r="A814" s="5" t="inlineStr">
        <is>
          <t>MIX2-LP</t>
        </is>
      </c>
      <c r="B814" s="6" t="inlineStr">
        <is>
          <t>4º tri - base presumida CSLL</t>
        </is>
      </c>
      <c r="C814" s="6" t="inlineStr">
        <is>
          <t>R$ 225.000,00 x 25,3%</t>
        </is>
      </c>
      <c r="D814" s="7" t="n">
        <v>57000</v>
      </c>
      <c r="E814" s="6" t="inlineStr">
        <is>
          <t>Lei 9.249/1995, arts. 15 e 20</t>
        </is>
      </c>
    </row>
    <row r="815">
      <c r="A815" s="5" t="inlineStr">
        <is>
          <t>MIX2-LP</t>
        </is>
      </c>
      <c r="B815" s="6" t="inlineStr">
        <is>
          <t>4º tri - CSLL</t>
        </is>
      </c>
      <c r="C815" s="6" t="inlineStr">
        <is>
          <t>R$ 57.000,00 x 9%</t>
        </is>
      </c>
      <c r="D815" s="7" t="n">
        <v>5130</v>
      </c>
      <c r="E815" s="6" t="inlineStr">
        <is>
          <t>Lei 7.689/1988, art. 3º</t>
        </is>
      </c>
    </row>
    <row r="816">
      <c r="A816" s="5" t="inlineStr">
        <is>
          <t>MIX2-LP</t>
        </is>
      </c>
      <c r="B816" s="6" t="inlineStr">
        <is>
          <t>PIS cumulativo</t>
        </is>
      </c>
      <c r="C816" s="6" t="inlineStr">
        <is>
          <t>R$ 900.000,00 x 0,65%</t>
        </is>
      </c>
      <c r="D816" s="7" t="n">
        <v>5850</v>
      </c>
      <c r="E816" s="6" t="inlineStr">
        <is>
          <t>Lei 9.715/1998</t>
        </is>
      </c>
    </row>
    <row r="817">
      <c r="A817" s="5" t="inlineStr">
        <is>
          <t>MIX2-LP</t>
        </is>
      </c>
      <c r="B817" s="6" t="inlineStr">
        <is>
          <t>Cofins cumulativa</t>
        </is>
      </c>
      <c r="C817" s="6" t="inlineStr">
        <is>
          <t>R$ 900.000,00 x 3,00%</t>
        </is>
      </c>
      <c r="D817" s="7" t="n">
        <v>27000</v>
      </c>
      <c r="E817" s="6" t="inlineStr">
        <is>
          <t>Lei 9.718/1998</t>
        </is>
      </c>
    </row>
    <row r="818">
      <c r="A818" s="5" t="inlineStr">
        <is>
          <t>MIX2-LP</t>
        </is>
      </c>
      <c r="B818" s="6" t="inlineStr">
        <is>
          <t>ICMS - débito nas vendas</t>
        </is>
      </c>
      <c r="C818" s="6" t="inlineStr">
        <is>
          <t>R$ 300.000,00 x 18,00%</t>
        </is>
      </c>
      <c r="D818" s="7" t="n">
        <v>54000</v>
      </c>
      <c r="E818" s="6" t="inlineStr">
        <is>
          <t>LC 87/1996 e legislação estadual</t>
        </is>
      </c>
    </row>
    <row r="819">
      <c r="A819" s="5" t="inlineStr">
        <is>
          <t>MIX2-LP</t>
        </is>
      </c>
      <c r="B819" s="6" t="inlineStr">
        <is>
          <t>ICMS - crédito nas compras</t>
        </is>
      </c>
      <c r="C819" s="6" t="inlineStr">
        <is>
          <t>R$ 150.000,00 x 18,00%</t>
        </is>
      </c>
      <c r="D819" s="7" t="n">
        <v>27000</v>
      </c>
      <c r="E819" s="6" t="inlineStr">
        <is>
          <t>LC 87/1996, art. 20 (não cumulatividade)</t>
        </is>
      </c>
    </row>
    <row r="820">
      <c r="A820" s="5" t="inlineStr">
        <is>
          <t>MIX2-LP</t>
        </is>
      </c>
      <c r="B820" s="6" t="inlineStr">
        <is>
          <t>ICMS a recolher</t>
        </is>
      </c>
      <c r="C820" s="6" t="inlineStr">
        <is>
          <t>máx(0; débito - crédito)</t>
        </is>
      </c>
      <c r="D820" s="7" t="n">
        <v>27000</v>
      </c>
      <c r="E820" s="6" t="inlineStr"/>
    </row>
    <row r="821">
      <c r="A821" s="5" t="inlineStr">
        <is>
          <t>MIX2-LP</t>
        </is>
      </c>
      <c r="B821" s="6" t="inlineStr">
        <is>
          <t>ISS</t>
        </is>
      </c>
      <c r="C821" s="6" t="inlineStr">
        <is>
          <t>R$ 600.000,00 x 5,00%</t>
        </is>
      </c>
      <c r="D821" s="7" t="n">
        <v>30000</v>
      </c>
      <c r="E821" s="6" t="inlineStr">
        <is>
          <t>LC 116/2003 e lei municipal</t>
        </is>
      </c>
    </row>
    <row r="822">
      <c r="A822" s="5" t="inlineStr">
        <is>
          <t>MIX2-LP</t>
        </is>
      </c>
      <c r="B822" s="6" t="inlineStr">
        <is>
          <t>INSS patronal sobre a folha CLT</t>
        </is>
      </c>
      <c r="C822" s="6" t="inlineStr">
        <is>
          <t>R$ 120.000,00 x (20,00% CPP + 2,00% RAT + 5,80% terceiros)</t>
        </is>
      </c>
      <c r="D822" s="7" t="n">
        <v>33360</v>
      </c>
      <c r="E822" s="6" t="inlineStr">
        <is>
          <t>Lei 8.212/1991, art. 22, I e II</t>
        </is>
      </c>
    </row>
    <row r="823">
      <c r="A823" s="5" t="inlineStr">
        <is>
          <t>MIX2-LP</t>
        </is>
      </c>
      <c r="B823" s="6" t="inlineStr">
        <is>
          <t>INSS patronal sobre o pró-labore</t>
        </is>
      </c>
      <c r="C823" s="6" t="inlineStr">
        <is>
          <t>R$ 36.000,00 x 20,00%</t>
        </is>
      </c>
      <c r="D823" s="7" t="n">
        <v>7200</v>
      </c>
      <c r="E823" s="6" t="inlineStr">
        <is>
          <t>Lei 8.212/1991, art. 22, III</t>
        </is>
      </c>
    </row>
    <row r="824">
      <c r="A824" s="5" t="inlineStr">
        <is>
          <t>MIX2-LR</t>
        </is>
      </c>
      <c r="B824" s="6" t="inlineStr">
        <is>
          <t>PIS - débito</t>
        </is>
      </c>
      <c r="C824" s="6" t="inlineStr">
        <is>
          <t>R$ 900.000,00 x 1,65%</t>
        </is>
      </c>
      <c r="D824" s="7" t="n">
        <v>14850</v>
      </c>
      <c r="E824" s="6" t="inlineStr">
        <is>
          <t>Lei 10.637/2002</t>
        </is>
      </c>
    </row>
    <row r="825">
      <c r="A825" s="5" t="inlineStr">
        <is>
          <t>MIX2-LR</t>
        </is>
      </c>
      <c r="B825" s="6" t="inlineStr">
        <is>
          <t>PIS - crédito</t>
        </is>
      </c>
      <c r="C825" s="6" t="inlineStr">
        <is>
          <t>(R$ 150.000,00 compras + R$ 0,00 despesas creditáveis) x 1,65%</t>
        </is>
      </c>
      <c r="D825" s="7" t="n">
        <v>2475</v>
      </c>
      <c r="E825" s="6" t="inlineStr">
        <is>
          <t>Lei 10.637/2002, art. 3º</t>
        </is>
      </c>
    </row>
    <row r="826">
      <c r="A826" s="5" t="inlineStr">
        <is>
          <t>MIX2-LR</t>
        </is>
      </c>
      <c r="B826" s="6" t="inlineStr">
        <is>
          <t>Cofins - débito</t>
        </is>
      </c>
      <c r="C826" s="6" t="inlineStr">
        <is>
          <t>R$ 900.000,00 x 7,60%</t>
        </is>
      </c>
      <c r="D826" s="7" t="n">
        <v>68400</v>
      </c>
      <c r="E826" s="6" t="inlineStr">
        <is>
          <t>Lei 10.833/2003</t>
        </is>
      </c>
    </row>
    <row r="827">
      <c r="A827" s="5" t="inlineStr">
        <is>
          <t>MIX2-LR</t>
        </is>
      </c>
      <c r="B827" s="6" t="inlineStr">
        <is>
          <t>Cofins - crédito</t>
        </is>
      </c>
      <c r="C827" s="6" t="inlineStr">
        <is>
          <t>(R$ 150.000,00 compras + R$ 0,00 despesas creditáveis) x 7,60%</t>
        </is>
      </c>
      <c r="D827" s="7" t="n">
        <v>11400</v>
      </c>
      <c r="E827" s="6" t="inlineStr">
        <is>
          <t>Lei 10.833/2003, art. 3º</t>
        </is>
      </c>
    </row>
    <row r="828">
      <c r="A828" s="5" t="inlineStr">
        <is>
          <t>MIX2-LR</t>
        </is>
      </c>
      <c r="B828" s="6" t="inlineStr">
        <is>
          <t>ICMS - débito nas vendas</t>
        </is>
      </c>
      <c r="C828" s="6" t="inlineStr">
        <is>
          <t>R$ 300.000,00 x 18,00%</t>
        </is>
      </c>
      <c r="D828" s="7" t="n">
        <v>54000</v>
      </c>
      <c r="E828" s="6" t="inlineStr">
        <is>
          <t>LC 87/1996 e legislação estadual</t>
        </is>
      </c>
    </row>
    <row r="829">
      <c r="A829" s="5" t="inlineStr">
        <is>
          <t>MIX2-LR</t>
        </is>
      </c>
      <c r="B829" s="6" t="inlineStr">
        <is>
          <t>ICMS - crédito nas compras</t>
        </is>
      </c>
      <c r="C829" s="6" t="inlineStr">
        <is>
          <t>R$ 150.000,00 x 18,00%</t>
        </is>
      </c>
      <c r="D829" s="7" t="n">
        <v>27000</v>
      </c>
      <c r="E829" s="6" t="inlineStr">
        <is>
          <t>LC 87/1996, art. 20 (não cumulatividade)</t>
        </is>
      </c>
    </row>
    <row r="830">
      <c r="A830" s="5" t="inlineStr">
        <is>
          <t>MIX2-LR</t>
        </is>
      </c>
      <c r="B830" s="6" t="inlineStr">
        <is>
          <t>ICMS a recolher</t>
        </is>
      </c>
      <c r="C830" s="6" t="inlineStr">
        <is>
          <t>máx(0; débito - crédito)</t>
        </is>
      </c>
      <c r="D830" s="7" t="n">
        <v>27000</v>
      </c>
      <c r="E830" s="6" t="inlineStr"/>
    </row>
    <row r="831">
      <c r="A831" s="5" t="inlineStr">
        <is>
          <t>MIX2-LR</t>
        </is>
      </c>
      <c r="B831" s="6" t="inlineStr">
        <is>
          <t>ISS</t>
        </is>
      </c>
      <c r="C831" s="6" t="inlineStr">
        <is>
          <t>R$ 600.000,00 x 5,00%</t>
        </is>
      </c>
      <c r="D831" s="7" t="n">
        <v>30000</v>
      </c>
      <c r="E831" s="6" t="inlineStr">
        <is>
          <t>LC 116/2003 e lei municipal</t>
        </is>
      </c>
    </row>
    <row r="832">
      <c r="A832" s="5" t="inlineStr">
        <is>
          <t>MIX2-LR</t>
        </is>
      </c>
      <c r="B832" s="6" t="inlineStr">
        <is>
          <t>INSS patronal sobre a folha CLT</t>
        </is>
      </c>
      <c r="C832" s="6" t="inlineStr">
        <is>
          <t>R$ 120.000,00 x (20,00% CPP + 2,00% RAT + 5,80% terceiros)</t>
        </is>
      </c>
      <c r="D832" s="7" t="n">
        <v>33360</v>
      </c>
      <c r="E832" s="6" t="inlineStr">
        <is>
          <t>Lei 8.212/1991, art. 22, I e II</t>
        </is>
      </c>
    </row>
    <row r="833">
      <c r="A833" s="5" t="inlineStr">
        <is>
          <t>MIX2-LR</t>
        </is>
      </c>
      <c r="B833" s="6" t="inlineStr">
        <is>
          <t>INSS patronal sobre o pró-labore</t>
        </is>
      </c>
      <c r="C833" s="6" t="inlineStr">
        <is>
          <t>R$ 36.000,00 x 20,00%</t>
        </is>
      </c>
      <c r="D833" s="7" t="n">
        <v>7200</v>
      </c>
      <c r="E833" s="6" t="inlineStr">
        <is>
          <t>Lei 8.212/1991, art. 22, III</t>
        </is>
      </c>
    </row>
    <row r="834">
      <c r="A834" s="5" t="inlineStr">
        <is>
          <t>MIX2-LR</t>
        </is>
      </c>
      <c r="B834" s="6" t="inlineStr">
        <is>
          <t>Lucro antes do IRPJ/CSLL</t>
        </is>
      </c>
      <c r="C834" s="6" t="inlineStr">
        <is>
          <t>R$ 900.000,00 receita - R$ 150.000,00 compras - R$ 0,00 despesas - R$ 156.000,00 folha e pró-labore - R$ 9.600,00 FGTS - R$ 166.935,00 tributos dedutíveis</t>
        </is>
      </c>
      <c r="D834" s="7" t="n">
        <v>417465</v>
      </c>
      <c r="E834" s="6" t="inlineStr">
        <is>
          <t>Lei 6.404/1976 (DRE)</t>
        </is>
      </c>
    </row>
    <row r="835">
      <c r="A835" s="5" t="inlineStr">
        <is>
          <t>MIX2-LR</t>
        </is>
      </c>
      <c r="B835" s="6" t="inlineStr">
        <is>
          <t>IRPJ</t>
        </is>
      </c>
      <c r="C835" s="6" t="inlineStr">
        <is>
          <t>R$ 417.465,00 x 15% + 10% sobre o que exceder R$ 240.000,00</t>
        </is>
      </c>
      <c r="D835" s="7" t="n">
        <v>80366.25</v>
      </c>
      <c r="E835" s="6" t="inlineStr">
        <is>
          <t>Lei 9.249/1995, art. 3º; Lei 9.430/1996, art. 2º</t>
        </is>
      </c>
    </row>
    <row r="836">
      <c r="A836" s="5" t="inlineStr">
        <is>
          <t>MIX2-LR</t>
        </is>
      </c>
      <c r="B836" s="6" t="inlineStr">
        <is>
          <t>CSLL</t>
        </is>
      </c>
      <c r="C836" s="6" t="inlineStr">
        <is>
          <t>R$ 417.465,00 x 9%</t>
        </is>
      </c>
      <c r="D836" s="7" t="n">
        <v>37571.85</v>
      </c>
      <c r="E836" s="6" t="inlineStr">
        <is>
          <t>Lei 7.689/1988, art. 3º</t>
        </is>
      </c>
    </row>
    <row r="837">
      <c r="A837" s="5" t="inlineStr">
        <is>
          <t>MIX3-SN</t>
        </is>
      </c>
      <c r="B837" s="6" t="inlineStr">
        <is>
          <t>Fator R (folha 12 meses / RBT12)</t>
        </is>
      </c>
      <c r="C837" s="6" t="inlineStr">
        <is>
          <t>R$ 319.200,00 (salários + pró-labore + FGTS 8%) / R$ 1.800.000,00 = 17,73% -&gt; Anexo V</t>
        </is>
      </c>
      <c r="D837" s="19" t="n">
        <v>0.1773333333333333</v>
      </c>
      <c r="E837" s="6" t="inlineStr">
        <is>
          <t>LC 123/2006, art. 18, §5º-J, §5º-M e §24</t>
        </is>
      </c>
    </row>
    <row r="838">
      <c r="A838" s="5" t="inlineStr">
        <is>
          <t>MIX3-SN</t>
        </is>
      </c>
      <c r="B838" s="6" t="inlineStr">
        <is>
          <t>Alíquota efetiva - Anexo I, 4ª faixa</t>
        </is>
      </c>
      <c r="C838" s="6" t="inlineStr">
        <is>
          <t>(R$ 1.800.000,00 x 10,70% - R$ 22.500,00) / R$ 1.800.000,00 = 9,4500%</t>
        </is>
      </c>
      <c r="D838" s="19" t="n">
        <v>0.0945</v>
      </c>
      <c r="E838" s="6" t="inlineStr">
        <is>
          <t>LC 123/2006, art. 18, §1º e §1º-A</t>
        </is>
      </c>
    </row>
    <row r="839">
      <c r="A839" s="5" t="inlineStr">
        <is>
          <t>MIX3-SN</t>
        </is>
      </c>
      <c r="B839" s="6" t="inlineStr">
        <is>
          <t>DAS (Anexo I, R$ 1.200.000,00)</t>
        </is>
      </c>
      <c r="C839" s="6" t="inlineStr">
        <is>
          <t>R$ 1.200.000,00 x 9,4500%</t>
        </is>
      </c>
      <c r="D839" s="7" t="n">
        <v>113400</v>
      </c>
      <c r="E839" s="6" t="inlineStr">
        <is>
          <t>LC 123/2006, art. 13</t>
        </is>
      </c>
    </row>
    <row r="840">
      <c r="A840" s="5" t="inlineStr">
        <is>
          <t>MIX3-SN</t>
        </is>
      </c>
      <c r="B840" s="6" t="inlineStr">
        <is>
          <t>Alíquota efetiva - Anexo V, 4ª faixa</t>
        </is>
      </c>
      <c r="C840" s="6" t="inlineStr">
        <is>
          <t>(R$ 1.800.000,00 x 20,50% - R$ 17.100,00) / R$ 1.800.000,00 = 19,5500%</t>
        </is>
      </c>
      <c r="D840" s="19" t="n">
        <v>0.1955</v>
      </c>
      <c r="E840" s="6" t="inlineStr">
        <is>
          <t>LC 123/2006, art. 18, §1º e §1º-A</t>
        </is>
      </c>
    </row>
    <row r="841">
      <c r="A841" s="5" t="inlineStr">
        <is>
          <t>MIX3-SN</t>
        </is>
      </c>
      <c r="B841" s="6" t="inlineStr">
        <is>
          <t>DAS (Anexo V, R$ 600.000,00)</t>
        </is>
      </c>
      <c r="C841" s="6" t="inlineStr">
        <is>
          <t>R$ 600.000,00 x 19,5500%</t>
        </is>
      </c>
      <c r="D841" s="7" t="n">
        <v>117300</v>
      </c>
      <c r="E841" s="6" t="inlineStr">
        <is>
          <t>LC 123/2006, art. 13</t>
        </is>
      </c>
    </row>
    <row r="842">
      <c r="A842" s="5" t="inlineStr">
        <is>
          <t>MIX3-SN</t>
        </is>
      </c>
      <c r="B842" s="6" t="inlineStr">
        <is>
          <t>DAS anual</t>
        </is>
      </c>
      <c r="C842" s="6" t="inlineStr">
        <is>
          <t>R$ 113.400,00 + R$ 117.300,00</t>
        </is>
      </c>
      <c r="D842" s="7" t="n">
        <v>230700</v>
      </c>
      <c r="E842" s="6" t="inlineStr">
        <is>
          <t>LC 123/2006, art. 13 e art. 18, §§ 1º e 4º</t>
        </is>
      </c>
    </row>
    <row r="843">
      <c r="A843" s="5" t="inlineStr">
        <is>
          <t>MIX3-LP</t>
        </is>
      </c>
      <c r="B843" s="6" t="inlineStr">
        <is>
          <t>Percentuais de presunção (atividades mistas, média ponderada pela receita)</t>
        </is>
      </c>
      <c r="C843" s="6" t="inlineStr">
        <is>
          <t>Revenda de mercadorias R$ 1.200.000,00 (IRPJ 8,0%, CSLL 12,0%); Prestação de serviços em geral R$ 600.000,00 (IRPJ 32,0%, CSLL 32,0%) =&gt; IRPJ 16,00%, CSLL 18,67%</t>
        </is>
      </c>
      <c r="D843" s="19" t="n">
        <v>0.16</v>
      </c>
      <c r="E843" s="6" t="inlineStr">
        <is>
          <t>Lei 9.249/1995, art. 15, §1º e art. 20 (percentual de cada atividade)</t>
        </is>
      </c>
    </row>
    <row r="844">
      <c r="A844" s="5" t="inlineStr">
        <is>
          <t>MIX3-LP</t>
        </is>
      </c>
      <c r="B844" s="6" t="inlineStr">
        <is>
          <t>Receita para IRPJ e CSLL</t>
        </is>
      </c>
      <c r="C844" s="6" t="inlineStr">
        <is>
          <t>R$ 1.800.000,00 sem PIS/Cofins, CBS e IBS (e sem o ICMS/ISS já retirado pela transição)</t>
        </is>
      </c>
      <c r="D844" s="7" t="n">
        <v>1734300</v>
      </c>
      <c r="E844" s="6" t="inlineStr">
        <is>
          <t>Lei 9.249/1995, art. 15 (receita bruta); IBS e CBS fora da receita bruta é tese, sem decisão judicial</t>
        </is>
      </c>
    </row>
    <row r="845">
      <c r="A845" s="5" t="inlineStr">
        <is>
          <t>MIX3-LP</t>
        </is>
      </c>
      <c r="B845" s="6" t="inlineStr">
        <is>
          <t>1º tri - base presumida IRPJ</t>
        </is>
      </c>
      <c r="C845" s="6" t="inlineStr">
        <is>
          <t>R$ 433.575,00 x 16,0%</t>
        </is>
      </c>
      <c r="D845" s="7" t="n">
        <v>69372</v>
      </c>
      <c r="E845" s="6" t="inlineStr">
        <is>
          <t>Lei 9.249/1995, arts. 15 e 20</t>
        </is>
      </c>
    </row>
    <row r="846">
      <c r="A846" s="5" t="inlineStr">
        <is>
          <t>MIX3-LP</t>
        </is>
      </c>
      <c r="B846" s="6" t="inlineStr">
        <is>
          <t>1º tri - IRPJ</t>
        </is>
      </c>
      <c r="C846" s="6" t="inlineStr">
        <is>
          <t>R$ 69.372,00 x 15% + adicional 10% sobre o que exceder R$ 60.000,00</t>
        </is>
      </c>
      <c r="D846" s="7" t="n">
        <v>11343</v>
      </c>
      <c r="E846" s="6" t="inlineStr">
        <is>
          <t>Lei 9.430/1996, arts. 3º e 4º</t>
        </is>
      </c>
    </row>
    <row r="847">
      <c r="A847" s="5" t="inlineStr">
        <is>
          <t>MIX3-LP</t>
        </is>
      </c>
      <c r="B847" s="6" t="inlineStr">
        <is>
          <t>1º tri - base presumida CSLL</t>
        </is>
      </c>
      <c r="C847" s="6" t="inlineStr">
        <is>
          <t>R$ 433.575,00 x 18,7%</t>
        </is>
      </c>
      <c r="D847" s="7" t="n">
        <v>80934</v>
      </c>
      <c r="E847" s="6" t="inlineStr">
        <is>
          <t>Lei 9.249/1995, arts. 15 e 20</t>
        </is>
      </c>
    </row>
    <row r="848">
      <c r="A848" s="5" t="inlineStr">
        <is>
          <t>MIX3-LP</t>
        </is>
      </c>
      <c r="B848" s="6" t="inlineStr">
        <is>
          <t>1º tri - CSLL</t>
        </is>
      </c>
      <c r="C848" s="6" t="inlineStr">
        <is>
          <t>R$ 80.934,00 x 9%</t>
        </is>
      </c>
      <c r="D848" s="7" t="n">
        <v>7284.06</v>
      </c>
      <c r="E848" s="6" t="inlineStr">
        <is>
          <t>Lei 7.689/1988, art. 3º</t>
        </is>
      </c>
    </row>
    <row r="849">
      <c r="A849" s="5" t="inlineStr">
        <is>
          <t>MIX3-LP</t>
        </is>
      </c>
      <c r="B849" s="6" t="inlineStr">
        <is>
          <t>2º tri - base presumida IRPJ</t>
        </is>
      </c>
      <c r="C849" s="6" t="inlineStr">
        <is>
          <t>R$ 433.575,00 x 16,0%</t>
        </is>
      </c>
      <c r="D849" s="7" t="n">
        <v>69372</v>
      </c>
      <c r="E849" s="6" t="inlineStr">
        <is>
          <t>Lei 9.249/1995, arts. 15 e 20</t>
        </is>
      </c>
    </row>
    <row r="850">
      <c r="A850" s="5" t="inlineStr">
        <is>
          <t>MIX3-LP</t>
        </is>
      </c>
      <c r="B850" s="6" t="inlineStr">
        <is>
          <t>2º tri - IRPJ</t>
        </is>
      </c>
      <c r="C850" s="6" t="inlineStr">
        <is>
          <t>R$ 69.372,00 x 15% + adicional 10% sobre o que exceder R$ 60.000,00</t>
        </is>
      </c>
      <c r="D850" s="7" t="n">
        <v>11343</v>
      </c>
      <c r="E850" s="6" t="inlineStr">
        <is>
          <t>Lei 9.430/1996, arts. 3º e 4º</t>
        </is>
      </c>
    </row>
    <row r="851">
      <c r="A851" s="5" t="inlineStr">
        <is>
          <t>MIX3-LP</t>
        </is>
      </c>
      <c r="B851" s="6" t="inlineStr">
        <is>
          <t>2º tri - base presumida CSLL</t>
        </is>
      </c>
      <c r="C851" s="6" t="inlineStr">
        <is>
          <t>R$ 433.575,00 x 18,7%</t>
        </is>
      </c>
      <c r="D851" s="7" t="n">
        <v>80934</v>
      </c>
      <c r="E851" s="6" t="inlineStr">
        <is>
          <t>Lei 9.249/1995, arts. 15 e 20</t>
        </is>
      </c>
    </row>
    <row r="852">
      <c r="A852" s="5" t="inlineStr">
        <is>
          <t>MIX3-LP</t>
        </is>
      </c>
      <c r="B852" s="6" t="inlineStr">
        <is>
          <t>2º tri - CSLL</t>
        </is>
      </c>
      <c r="C852" s="6" t="inlineStr">
        <is>
          <t>R$ 80.934,00 x 9%</t>
        </is>
      </c>
      <c r="D852" s="7" t="n">
        <v>7284.06</v>
      </c>
      <c r="E852" s="6" t="inlineStr">
        <is>
          <t>Lei 7.689/1988, art. 3º</t>
        </is>
      </c>
    </row>
    <row r="853">
      <c r="A853" s="5" t="inlineStr">
        <is>
          <t>MIX3-LP</t>
        </is>
      </c>
      <c r="B853" s="6" t="inlineStr">
        <is>
          <t>3º tri - base presumida IRPJ</t>
        </is>
      </c>
      <c r="C853" s="6" t="inlineStr">
        <is>
          <t>R$ 433.575,00 x 16,0%</t>
        </is>
      </c>
      <c r="D853" s="7" t="n">
        <v>69372</v>
      </c>
      <c r="E853" s="6" t="inlineStr">
        <is>
          <t>Lei 9.249/1995, arts. 15 e 20</t>
        </is>
      </c>
    </row>
    <row r="854">
      <c r="A854" s="5" t="inlineStr">
        <is>
          <t>MIX3-LP</t>
        </is>
      </c>
      <c r="B854" s="6" t="inlineStr">
        <is>
          <t>3º tri - IRPJ</t>
        </is>
      </c>
      <c r="C854" s="6" t="inlineStr">
        <is>
          <t>R$ 69.372,00 x 15% + adicional 10% sobre o que exceder R$ 60.000,00</t>
        </is>
      </c>
      <c r="D854" s="7" t="n">
        <v>11343</v>
      </c>
      <c r="E854" s="6" t="inlineStr">
        <is>
          <t>Lei 9.430/1996, arts. 3º e 4º</t>
        </is>
      </c>
    </row>
    <row r="855">
      <c r="A855" s="5" t="inlineStr">
        <is>
          <t>MIX3-LP</t>
        </is>
      </c>
      <c r="B855" s="6" t="inlineStr">
        <is>
          <t>3º tri - base presumida CSLL</t>
        </is>
      </c>
      <c r="C855" s="6" t="inlineStr">
        <is>
          <t>R$ 433.575,00 x 18,7%</t>
        </is>
      </c>
      <c r="D855" s="7" t="n">
        <v>80934</v>
      </c>
      <c r="E855" s="6" t="inlineStr">
        <is>
          <t>Lei 9.249/1995, arts. 15 e 20</t>
        </is>
      </c>
    </row>
    <row r="856">
      <c r="A856" s="5" t="inlineStr">
        <is>
          <t>MIX3-LP</t>
        </is>
      </c>
      <c r="B856" s="6" t="inlineStr">
        <is>
          <t>3º tri - CSLL</t>
        </is>
      </c>
      <c r="C856" s="6" t="inlineStr">
        <is>
          <t>R$ 80.934,00 x 9%</t>
        </is>
      </c>
      <c r="D856" s="7" t="n">
        <v>7284.06</v>
      </c>
      <c r="E856" s="6" t="inlineStr">
        <is>
          <t>Lei 7.689/1988, art. 3º</t>
        </is>
      </c>
    </row>
    <row r="857">
      <c r="A857" s="5" t="inlineStr">
        <is>
          <t>MIX3-LP</t>
        </is>
      </c>
      <c r="B857" s="6" t="inlineStr">
        <is>
          <t>4º tri - base presumida IRPJ</t>
        </is>
      </c>
      <c r="C857" s="6" t="inlineStr">
        <is>
          <t>R$ 433.575,00 x 16,0%</t>
        </is>
      </c>
      <c r="D857" s="7" t="n">
        <v>69372</v>
      </c>
      <c r="E857" s="6" t="inlineStr">
        <is>
          <t>Lei 9.249/1995, arts. 15 e 20</t>
        </is>
      </c>
    </row>
    <row r="858">
      <c r="A858" s="5" t="inlineStr">
        <is>
          <t>MIX3-LP</t>
        </is>
      </c>
      <c r="B858" s="6" t="inlineStr">
        <is>
          <t>4º tri - IRPJ</t>
        </is>
      </c>
      <c r="C858" s="6" t="inlineStr">
        <is>
          <t>R$ 69.372,00 x 15% + adicional 10% sobre o que exceder R$ 60.000,00</t>
        </is>
      </c>
      <c r="D858" s="7" t="n">
        <v>11343</v>
      </c>
      <c r="E858" s="6" t="inlineStr">
        <is>
          <t>Lei 9.430/1996, arts. 3º e 4º</t>
        </is>
      </c>
    </row>
    <row r="859">
      <c r="A859" s="5" t="inlineStr">
        <is>
          <t>MIX3-LP</t>
        </is>
      </c>
      <c r="B859" s="6" t="inlineStr">
        <is>
          <t>4º tri - base presumida CSLL</t>
        </is>
      </c>
      <c r="C859" s="6" t="inlineStr">
        <is>
          <t>R$ 433.575,00 x 18,7%</t>
        </is>
      </c>
      <c r="D859" s="7" t="n">
        <v>80934</v>
      </c>
      <c r="E859" s="6" t="inlineStr">
        <is>
          <t>Lei 9.249/1995, arts. 15 e 20</t>
        </is>
      </c>
    </row>
    <row r="860">
      <c r="A860" s="5" t="inlineStr">
        <is>
          <t>MIX3-LP</t>
        </is>
      </c>
      <c r="B860" s="6" t="inlineStr">
        <is>
          <t>4º tri - CSLL</t>
        </is>
      </c>
      <c r="C860" s="6" t="inlineStr">
        <is>
          <t>R$ 80.934,00 x 9%</t>
        </is>
      </c>
      <c r="D860" s="7" t="n">
        <v>7284.06</v>
      </c>
      <c r="E860" s="6" t="inlineStr">
        <is>
          <t>Lei 7.689/1988, art. 3º</t>
        </is>
      </c>
    </row>
    <row r="861">
      <c r="A861" s="5" t="inlineStr">
        <is>
          <t>MIX3-LP</t>
        </is>
      </c>
      <c r="B861" s="6" t="inlineStr">
        <is>
          <t>CBS</t>
        </is>
      </c>
      <c r="C861" s="6" t="inlineStr">
        <is>
          <t>R$ 1.488.300,00 x 8,700% - crédito R$ 509.250,00 x 8,700%</t>
        </is>
      </c>
      <c r="D861" s="7" t="n">
        <v>85177.35000000001</v>
      </c>
      <c r="E861" s="6" t="inlineStr">
        <is>
          <t>EC 132/2023 (ADCT, arts. 125 a 133); LC 214/2025</t>
        </is>
      </c>
    </row>
    <row r="862">
      <c r="A862" s="5" t="inlineStr">
        <is>
          <t>MIX3-LP</t>
        </is>
      </c>
      <c r="B862" s="6" t="inlineStr">
        <is>
          <t>IBS</t>
        </is>
      </c>
      <c r="C862" s="6" t="inlineStr">
        <is>
          <t>R$ 1.488.300,00 x 0,100% - crédito R$ 509.250,00 x 0,100%</t>
        </is>
      </c>
      <c r="D862" s="7" t="n">
        <v>979.05</v>
      </c>
      <c r="E862" s="6" t="inlineStr">
        <is>
          <t>EC 132/2023 (ADCT, arts. 125 a 133); LC 214/2025</t>
        </is>
      </c>
    </row>
    <row r="863">
      <c r="A863" s="5" t="inlineStr">
        <is>
          <t>MIX3-LP</t>
        </is>
      </c>
      <c r="B863" s="6" t="inlineStr">
        <is>
          <t>Vendas sem tributos sobre o consumo</t>
        </is>
      </c>
      <c r="C863" s="6" t="inlineStr">
        <is>
          <t>R$ 1.800.000,00 sem o PIS/Cofins atual e o ICMS/ISS embutidos no preço</t>
        </is>
      </c>
      <c r="D863" s="7" t="n">
        <v>1488300</v>
      </c>
      <c r="E863" s="6" t="inlineStr">
        <is>
          <t>EC 132/2023, ADCT arts. 125 a 133; LC 214/2025 (alíquotas de referência ainda estimadas)</t>
        </is>
      </c>
    </row>
    <row r="864">
      <c r="A864" s="5" t="inlineStr">
        <is>
          <t>MIX3-LP</t>
        </is>
      </c>
      <c r="B864" s="6" t="inlineStr">
        <is>
          <t>ICMS - débito nas vendas</t>
        </is>
      </c>
      <c r="C864" s="6" t="inlineStr">
        <is>
          <t>R$ 1.200.000,00 x 18,00%</t>
        </is>
      </c>
      <c r="D864" s="7" t="n">
        <v>216000</v>
      </c>
      <c r="E864" s="6" t="inlineStr">
        <is>
          <t>LC 87/1996 e legislação estadual</t>
        </is>
      </c>
    </row>
    <row r="865">
      <c r="A865" s="5" t="inlineStr">
        <is>
          <t>MIX3-LP</t>
        </is>
      </c>
      <c r="B865" s="6" t="inlineStr">
        <is>
          <t>ICMS - crédito nas compras</t>
        </is>
      </c>
      <c r="C865" s="6" t="inlineStr">
        <is>
          <t>R$ 700.000,00 x 18,00%</t>
        </is>
      </c>
      <c r="D865" s="7" t="n">
        <v>126000</v>
      </c>
      <c r="E865" s="6" t="inlineStr">
        <is>
          <t>LC 87/1996, art. 20 (não cumulatividade)</t>
        </is>
      </c>
    </row>
    <row r="866">
      <c r="A866" s="5" t="inlineStr">
        <is>
          <t>MIX3-LP</t>
        </is>
      </c>
      <c r="B866" s="6" t="inlineStr">
        <is>
          <t>ICMS a recolher</t>
        </is>
      </c>
      <c r="C866" s="6" t="inlineStr">
        <is>
          <t>máx(0; débito - crédito)</t>
        </is>
      </c>
      <c r="D866" s="7" t="n">
        <v>90000</v>
      </c>
      <c r="E866" s="6" t="inlineStr"/>
    </row>
    <row r="867">
      <c r="A867" s="5" t="inlineStr">
        <is>
          <t>MIX3-LP</t>
        </is>
      </c>
      <c r="B867" s="6" t="inlineStr">
        <is>
          <t>ISS</t>
        </is>
      </c>
      <c r="C867" s="6" t="inlineStr">
        <is>
          <t>R$ 600.000,00 x 5,00%</t>
        </is>
      </c>
      <c r="D867" s="7" t="n">
        <v>30000</v>
      </c>
      <c r="E867" s="6" t="inlineStr">
        <is>
          <t>LC 116/2003 e lei municipal</t>
        </is>
      </c>
    </row>
    <row r="868">
      <c r="A868" s="5" t="inlineStr">
        <is>
          <t>MIX3-LP</t>
        </is>
      </c>
      <c r="B868" s="6" t="inlineStr">
        <is>
          <t>INSS patronal sobre a folha CLT</t>
        </is>
      </c>
      <c r="C868" s="6" t="inlineStr">
        <is>
          <t>R$ 240.000,00 x (20,00% CPP + 2,00% RAT + 5,80% terceiros)</t>
        </is>
      </c>
      <c r="D868" s="7" t="n">
        <v>66720</v>
      </c>
      <c r="E868" s="6" t="inlineStr">
        <is>
          <t>Lei 8.212/1991, art. 22, I e II</t>
        </is>
      </c>
    </row>
    <row r="869">
      <c r="A869" s="5" t="inlineStr">
        <is>
          <t>MIX3-LP</t>
        </is>
      </c>
      <c r="B869" s="6" t="inlineStr">
        <is>
          <t>INSS patronal sobre o pró-labore</t>
        </is>
      </c>
      <c r="C869" s="6" t="inlineStr">
        <is>
          <t>R$ 60.000,00 x 20,00%</t>
        </is>
      </c>
      <c r="D869" s="7" t="n">
        <v>12000</v>
      </c>
      <c r="E869" s="6" t="inlineStr">
        <is>
          <t>Lei 8.212/1991, art. 22, III</t>
        </is>
      </c>
    </row>
    <row r="870">
      <c r="A870" s="5" t="inlineStr">
        <is>
          <t>MIX3-LR</t>
        </is>
      </c>
      <c r="B870" s="6" t="inlineStr">
        <is>
          <t>CBS</t>
        </is>
      </c>
      <c r="C870" s="6" t="inlineStr">
        <is>
          <t>R$ 1.387.500,00 x 8,700% - crédito R$ 509.250,00 x 8,700%</t>
        </is>
      </c>
      <c r="D870" s="7" t="n">
        <v>76407.75</v>
      </c>
      <c r="E870" s="6" t="inlineStr">
        <is>
          <t>EC 132/2023 (ADCT, arts. 125 a 133); LC 214/2025</t>
        </is>
      </c>
    </row>
    <row r="871">
      <c r="A871" s="5" t="inlineStr">
        <is>
          <t>MIX3-LR</t>
        </is>
      </c>
      <c r="B871" s="6" t="inlineStr">
        <is>
          <t>IBS</t>
        </is>
      </c>
      <c r="C871" s="6" t="inlineStr">
        <is>
          <t>R$ 1.387.500,00 x 0,100% - crédito R$ 509.250,00 x 0,100%</t>
        </is>
      </c>
      <c r="D871" s="7" t="n">
        <v>878.25</v>
      </c>
      <c r="E871" s="6" t="inlineStr">
        <is>
          <t>EC 132/2023 (ADCT, arts. 125 a 133); LC 214/2025</t>
        </is>
      </c>
    </row>
    <row r="872">
      <c r="A872" s="5" t="inlineStr">
        <is>
          <t>MIX3-LR</t>
        </is>
      </c>
      <c r="B872" s="6" t="inlineStr">
        <is>
          <t>Vendas sem tributos sobre o consumo</t>
        </is>
      </c>
      <c r="C872" s="6" t="inlineStr">
        <is>
          <t>R$ 1.800.000,00 sem o PIS/Cofins atual e o ICMS/ISS embutidos no preço</t>
        </is>
      </c>
      <c r="D872" s="7" t="n">
        <v>1387500</v>
      </c>
      <c r="E872" s="6" t="inlineStr">
        <is>
          <t>EC 132/2023, ADCT arts. 125 a 133; LC 214/2025 (alíquotas de referência ainda estimadas)</t>
        </is>
      </c>
    </row>
    <row r="873">
      <c r="A873" s="5" t="inlineStr">
        <is>
          <t>MIX3-LR</t>
        </is>
      </c>
      <c r="B873" s="6" t="inlineStr">
        <is>
          <t>Receita para o lucro</t>
        </is>
      </c>
      <c r="C873" s="6" t="inlineStr">
        <is>
          <t>R$ 1.800.000,00 sem PIS/Cofins, CBS e IBS (e sem o ICMS/ISS já retirado pela transição)</t>
        </is>
      </c>
      <c r="D873" s="7" t="n">
        <v>1633500</v>
      </c>
      <c r="E873" s="6" t="inlineStr">
        <is>
          <t>Lei 9.249/1995, art. 15 (receita bruta); IBS e CBS fora da receita bruta é tese, sem decisão judicial</t>
        </is>
      </c>
    </row>
    <row r="874">
      <c r="A874" s="5" t="inlineStr">
        <is>
          <t>MIX3-LR</t>
        </is>
      </c>
      <c r="B874" s="6" t="inlineStr">
        <is>
          <t>ICMS - débito nas vendas</t>
        </is>
      </c>
      <c r="C874" s="6" t="inlineStr">
        <is>
          <t>R$ 1.200.000,00 x 18,00%</t>
        </is>
      </c>
      <c r="D874" s="7" t="n">
        <v>216000</v>
      </c>
      <c r="E874" s="6" t="inlineStr">
        <is>
          <t>LC 87/1996 e legislação estadual</t>
        </is>
      </c>
    </row>
    <row r="875">
      <c r="A875" s="5" t="inlineStr">
        <is>
          <t>MIX3-LR</t>
        </is>
      </c>
      <c r="B875" s="6" t="inlineStr">
        <is>
          <t>ICMS - crédito nas compras</t>
        </is>
      </c>
      <c r="C875" s="6" t="inlineStr">
        <is>
          <t>R$ 700.000,00 x 18,00%</t>
        </is>
      </c>
      <c r="D875" s="7" t="n">
        <v>126000</v>
      </c>
      <c r="E875" s="6" t="inlineStr">
        <is>
          <t>LC 87/1996, art. 20 (não cumulatividade)</t>
        </is>
      </c>
    </row>
    <row r="876">
      <c r="A876" s="5" t="inlineStr">
        <is>
          <t>MIX3-LR</t>
        </is>
      </c>
      <c r="B876" s="6" t="inlineStr">
        <is>
          <t>ICMS a recolher</t>
        </is>
      </c>
      <c r="C876" s="6" t="inlineStr">
        <is>
          <t>máx(0; débito - crédito)</t>
        </is>
      </c>
      <c r="D876" s="7" t="n">
        <v>90000</v>
      </c>
      <c r="E876" s="6" t="inlineStr"/>
    </row>
    <row r="877">
      <c r="A877" s="5" t="inlineStr">
        <is>
          <t>MIX3-LR</t>
        </is>
      </c>
      <c r="B877" s="6" t="inlineStr">
        <is>
          <t>ISS</t>
        </is>
      </c>
      <c r="C877" s="6" t="inlineStr">
        <is>
          <t>R$ 600.000,00 x 5,00%</t>
        </is>
      </c>
      <c r="D877" s="7" t="n">
        <v>30000</v>
      </c>
      <c r="E877" s="6" t="inlineStr">
        <is>
          <t>LC 116/2003 e lei municipal</t>
        </is>
      </c>
    </row>
    <row r="878">
      <c r="A878" s="5" t="inlineStr">
        <is>
          <t>MIX3-LR</t>
        </is>
      </c>
      <c r="B878" s="6" t="inlineStr">
        <is>
          <t>INSS patronal sobre a folha CLT</t>
        </is>
      </c>
      <c r="C878" s="6" t="inlineStr">
        <is>
          <t>R$ 240.000,00 x (20,00% CPP + 2,00% RAT + 5,80% terceiros)</t>
        </is>
      </c>
      <c r="D878" s="7" t="n">
        <v>66720</v>
      </c>
      <c r="E878" s="6" t="inlineStr">
        <is>
          <t>Lei 8.212/1991, art. 22, I e II</t>
        </is>
      </c>
    </row>
    <row r="879">
      <c r="A879" s="5" t="inlineStr">
        <is>
          <t>MIX3-LR</t>
        </is>
      </c>
      <c r="B879" s="6" t="inlineStr">
        <is>
          <t>INSS patronal sobre o pró-labore</t>
        </is>
      </c>
      <c r="C879" s="6" t="inlineStr">
        <is>
          <t>R$ 60.000,00 x 20,00%</t>
        </is>
      </c>
      <c r="D879" s="7" t="n">
        <v>12000</v>
      </c>
      <c r="E879" s="6" t="inlineStr">
        <is>
          <t>Lei 8.212/1991, art. 22, III</t>
        </is>
      </c>
    </row>
    <row r="880">
      <c r="A880" s="5" t="inlineStr">
        <is>
          <t>MIX3-LR</t>
        </is>
      </c>
      <c r="B880" s="6" t="inlineStr">
        <is>
          <t>Lucro antes do IRPJ/CSLL</t>
        </is>
      </c>
      <c r="C880" s="6" t="inlineStr">
        <is>
          <t>R$ 1.633.500,00 receita - R$ 700.000,00 compras - R$ 0,00 despesas - R$ 300.000,00 folha e pró-labore - R$ 19.200,00 FGTS - R$ 198.720,00 tributos dedutíveis + R$ 44.814,00 de crédito de CBS e IBS</t>
        </is>
      </c>
      <c r="D880" s="7" t="n">
        <v>460394</v>
      </c>
      <c r="E880" s="6" t="inlineStr">
        <is>
          <t>Lei 6.404/1976 (DRE)</t>
        </is>
      </c>
    </row>
    <row r="881">
      <c r="A881" s="5" t="inlineStr">
        <is>
          <t>MIX3-LR</t>
        </is>
      </c>
      <c r="B881" s="6" t="inlineStr">
        <is>
          <t>IRPJ</t>
        </is>
      </c>
      <c r="C881" s="6" t="inlineStr">
        <is>
          <t>R$ 460.394,00 x 15% + 10% sobre o que exceder R$ 240.000,00</t>
        </is>
      </c>
      <c r="D881" s="7" t="n">
        <v>91098.5</v>
      </c>
      <c r="E881" s="6" t="inlineStr">
        <is>
          <t>Lei 9.249/1995, art. 3º; Lei 9.430/1996, art. 2º</t>
        </is>
      </c>
    </row>
    <row r="882">
      <c r="A882" s="5" t="inlineStr">
        <is>
          <t>MIX3-LR</t>
        </is>
      </c>
      <c r="B882" s="6" t="inlineStr">
        <is>
          <t>CSLL</t>
        </is>
      </c>
      <c r="C882" s="6" t="inlineStr">
        <is>
          <t>R$ 460.394,00 x 9%</t>
        </is>
      </c>
      <c r="D882" s="7" t="n">
        <v>41435.46</v>
      </c>
      <c r="E882" s="6" t="inlineStr">
        <is>
          <t>Lei 7.689/1988, art. 3º</t>
        </is>
      </c>
    </row>
    <row r="883">
      <c r="A883" s="5" t="inlineStr">
        <is>
          <t>SR4-2028</t>
        </is>
      </c>
      <c r="B883" s="6" t="inlineStr">
        <is>
          <t>Anexo I: alíquota efetiva do DAS (2028)</t>
        </is>
      </c>
      <c r="C883" s="6" t="inlineStr">
        <is>
          <t>RBT12 R$ 2.000.000,00, 5ª faixa</t>
        </is>
      </c>
      <c r="D883" s="7" t="n">
        <v>0.09934999999999999</v>
      </c>
      <c r="E883" s="6" t="inlineStr">
        <is>
          <t>LC 123/2006, art. 18, §1º e §1º-A</t>
        </is>
      </c>
    </row>
    <row r="884">
      <c r="A884" s="5" t="inlineStr">
        <is>
          <t>SR4-2028</t>
        </is>
      </c>
      <c r="B884" s="6" t="inlineStr">
        <is>
          <t>Alíquota da fatia do DAS substituída por IBS/CBS</t>
        </is>
      </c>
      <c r="C884" s="6" t="inlineStr">
        <is>
          <t>CBS 15,33% + IBS 0,17% = 15,50% do DAS</t>
        </is>
      </c>
      <c r="D884" s="19" t="n">
        <v>0.155</v>
      </c>
      <c r="E884" s="6" t="inlineStr">
        <is>
          <t>Res. CGSN 190/2026, Anexos I a V (partilha)</t>
        </is>
      </c>
    </row>
    <row r="885">
      <c r="A885" s="5" t="inlineStr">
        <is>
          <t>SR4-2028</t>
        </is>
      </c>
      <c r="B885" s="6" t="inlineStr">
        <is>
          <t>Alíquota de IBS/CBS na venda (por fora)</t>
        </is>
      </c>
      <c r="C885" s="6" t="inlineStr">
        <is>
          <t>com redução setorial de 0%</t>
        </is>
      </c>
      <c r="D885" s="19" t="n">
        <v>0.08799999999999999</v>
      </c>
      <c r="E885" s="6" t="inlineStr">
        <is>
          <t>LC 214/2025; LC 123/2006 (opção pelo regime regular de IBS/CBS)</t>
        </is>
      </c>
    </row>
    <row r="886">
      <c r="A886" s="5" t="inlineStr">
        <is>
          <t>SR4-2028</t>
        </is>
      </c>
      <c r="B886" s="6" t="inlineStr">
        <is>
          <t>Receita líquida — tudo no DAS</t>
        </is>
      </c>
      <c r="C886" s="6" t="inlineStr">
        <is>
          <t>R$ 2.000.000,00 x (1 - 9,94%)</t>
        </is>
      </c>
      <c r="D886" s="7" t="n">
        <v>1801300</v>
      </c>
      <c r="E886" s="6" t="inlineStr">
        <is>
          <t>LC 214/2025; LC 123/2006 (opção pelo regime regular de IBS/CBS)</t>
        </is>
      </c>
    </row>
    <row r="887">
      <c r="A887" s="5" t="inlineStr">
        <is>
          <t>SR4-2028</t>
        </is>
      </c>
      <c r="B887" s="6" t="inlineStr">
        <is>
          <t>Crédito de IBS/CBS nas compras (só por fora)</t>
        </is>
      </c>
      <c r="C887" s="6" t="inlineStr">
        <is>
          <t>R$ 1.200.000,00 x 8,80%</t>
        </is>
      </c>
      <c r="D887" s="7" t="n">
        <v>105600</v>
      </c>
      <c r="E887" s="6" t="inlineStr">
        <is>
          <t>LC 214/2025; LC 123/2006 (opção pelo regime regular de IBS/CBS)</t>
        </is>
      </c>
    </row>
    <row r="888">
      <c r="A888" s="5" t="inlineStr">
        <is>
          <t>SR4-2028</t>
        </is>
      </c>
      <c r="B888" s="6" t="inlineStr">
        <is>
          <t>Receita líquida — IBS/CBS por fora</t>
        </is>
      </c>
      <c r="C888" s="6" t="inlineStr">
        <is>
          <t>R$ 2.000.000,00 x [80% B2B x (1 - e·s)(1 - e·(1-s)) + 20% B2C x (1 - e·(1-s)) / (1 + 8,80%)] + créditos</t>
        </is>
      </c>
      <c r="D888" s="7" t="n">
        <v>1885491.2582391</v>
      </c>
      <c r="E888" s="6" t="inlineStr">
        <is>
          <t>LC 214/2025; LC 123/2006 (opção pelo regime regular de IBS/CBS)</t>
        </is>
      </c>
    </row>
    <row r="889">
      <c r="A889" s="5" t="inlineStr">
        <is>
          <t>SR4-2029</t>
        </is>
      </c>
      <c r="B889" s="6" t="inlineStr">
        <is>
          <t>Anexo I: alíquota efetiva do DAS (2029)</t>
        </is>
      </c>
      <c r="C889" s="6" t="inlineStr">
        <is>
          <t>RBT12 R$ 2.000.000,00, 5ª faixa</t>
        </is>
      </c>
      <c r="D889" s="7" t="n">
        <v>0.09934999999999999</v>
      </c>
      <c r="E889" s="6" t="inlineStr">
        <is>
          <t>LC 123/2006, art. 18, §1º e §1º-A</t>
        </is>
      </c>
    </row>
    <row r="890">
      <c r="A890" s="5" t="inlineStr">
        <is>
          <t>SR4-2029</t>
        </is>
      </c>
      <c r="B890" s="6" t="inlineStr">
        <is>
          <t>Alíquota da fatia do DAS substituída por IBS/CBS</t>
        </is>
      </c>
      <c r="C890" s="6" t="inlineStr">
        <is>
          <t>CBS 15,50% + IBS 3,35% = 18,85% do DAS</t>
        </is>
      </c>
      <c r="D890" s="19" t="n">
        <v>0.1885</v>
      </c>
      <c r="E890" s="6" t="inlineStr">
        <is>
          <t>Res. CGSN 190/2026, Anexos I a V (partilha)</t>
        </is>
      </c>
    </row>
    <row r="891">
      <c r="A891" s="5" t="inlineStr">
        <is>
          <t>SR4-2029</t>
        </is>
      </c>
      <c r="B891" s="6" t="inlineStr">
        <is>
          <t>Alíquota de IBS/CBS na venda (por fora)</t>
        </is>
      </c>
      <c r="C891" s="6" t="inlineStr">
        <is>
          <t>com redução setorial de 0%</t>
        </is>
      </c>
      <c r="D891" s="19" t="n">
        <v>0.1057</v>
      </c>
      <c r="E891" s="6" t="inlineStr">
        <is>
          <t>LC 214/2025; LC 123/2006 (opção pelo regime regular de IBS/CBS)</t>
        </is>
      </c>
    </row>
    <row r="892">
      <c r="A892" s="5" t="inlineStr">
        <is>
          <t>SR4-2029</t>
        </is>
      </c>
      <c r="B892" s="6" t="inlineStr">
        <is>
          <t>Receita líquida — tudo no DAS</t>
        </is>
      </c>
      <c r="C892" s="6" t="inlineStr">
        <is>
          <t>R$ 2.000.000,00 x (1 - 9,94%)</t>
        </is>
      </c>
      <c r="D892" s="7" t="n">
        <v>1801300</v>
      </c>
      <c r="E892" s="6" t="inlineStr">
        <is>
          <t>LC 214/2025; LC 123/2006 (opção pelo regime regular de IBS/CBS)</t>
        </is>
      </c>
    </row>
    <row r="893">
      <c r="A893" s="5" t="inlineStr">
        <is>
          <t>SR4-2029</t>
        </is>
      </c>
      <c r="B893" s="6" t="inlineStr">
        <is>
          <t>Crédito de IBS/CBS nas compras (só por fora)</t>
        </is>
      </c>
      <c r="C893" s="6" t="inlineStr">
        <is>
          <t>R$ 1.200.000,00 x 10,57%</t>
        </is>
      </c>
      <c r="D893" s="7" t="n">
        <v>126840</v>
      </c>
      <c r="E893" s="6" t="inlineStr">
        <is>
          <t>LC 214/2025; LC 123/2006 (opção pelo regime regular de IBS/CBS)</t>
        </is>
      </c>
    </row>
    <row r="894">
      <c r="A894" s="5" t="inlineStr">
        <is>
          <t>SR4-2029</t>
        </is>
      </c>
      <c r="B894" s="6" t="inlineStr">
        <is>
          <t>Receita líquida — IBS/CBS por fora</t>
        </is>
      </c>
      <c r="C894" s="6" t="inlineStr">
        <is>
          <t>R$ 2.000.000,00 x [80% B2B x (1 - e·s)(1 - e·(1-s)) + 20% B2C x (1 - e·(1-s)) / (1 + 10,57%)] + créditos</t>
        </is>
      </c>
      <c r="D894" s="7" t="n">
        <v>1902891.401840707</v>
      </c>
      <c r="E894" s="6" t="inlineStr">
        <is>
          <t>LC 214/2025; LC 123/2006 (opção pelo regime regular de IBS/CBS)</t>
        </is>
      </c>
    </row>
    <row r="895">
      <c r="A895" s="5" t="inlineStr">
        <is>
          <t>SR4-2030</t>
        </is>
      </c>
      <c r="B895" s="6" t="inlineStr">
        <is>
          <t>Anexo I: alíquota efetiva do DAS (2030)</t>
        </is>
      </c>
      <c r="C895" s="6" t="inlineStr">
        <is>
          <t>RBT12 R$ 2.000.000,00, 5ª faixa</t>
        </is>
      </c>
      <c r="D895" s="7" t="n">
        <v>0.09934999999999999</v>
      </c>
      <c r="E895" s="6" t="inlineStr">
        <is>
          <t>LC 123/2006, art. 18, §1º e §1º-A</t>
        </is>
      </c>
    </row>
    <row r="896">
      <c r="A896" s="5" t="inlineStr">
        <is>
          <t>SR4-2030</t>
        </is>
      </c>
      <c r="B896" s="6" t="inlineStr">
        <is>
          <t>Alíquota da fatia do DAS substituída por IBS/CBS</t>
        </is>
      </c>
      <c r="C896" s="6" t="inlineStr">
        <is>
          <t>CBS 15,50% + IBS 6,70% = 22,20% do DAS</t>
        </is>
      </c>
      <c r="D896" s="19" t="n">
        <v>0.222</v>
      </c>
      <c r="E896" s="6" t="inlineStr">
        <is>
          <t>Res. CGSN 190/2026, Anexos I a V (partilha)</t>
        </is>
      </c>
    </row>
    <row r="897">
      <c r="A897" s="5" t="inlineStr">
        <is>
          <t>SR4-2030</t>
        </is>
      </c>
      <c r="B897" s="6" t="inlineStr">
        <is>
          <t>Alíquota de IBS/CBS na venda (por fora)</t>
        </is>
      </c>
      <c r="C897" s="6" t="inlineStr">
        <is>
          <t>com redução setorial de 0%</t>
        </is>
      </c>
      <c r="D897" s="19" t="n">
        <v>0.1234</v>
      </c>
      <c r="E897" s="6" t="inlineStr">
        <is>
          <t>LC 214/2025; LC 123/2006 (opção pelo regime regular de IBS/CBS)</t>
        </is>
      </c>
    </row>
    <row r="898">
      <c r="A898" s="5" t="inlineStr">
        <is>
          <t>SR4-2030</t>
        </is>
      </c>
      <c r="B898" s="6" t="inlineStr">
        <is>
          <t>Receita líquida — tudo no DAS</t>
        </is>
      </c>
      <c r="C898" s="6" t="inlineStr">
        <is>
          <t>R$ 2.000.000,00 x (1 - 9,94%)</t>
        </is>
      </c>
      <c r="D898" s="7" t="n">
        <v>1801300</v>
      </c>
      <c r="E898" s="6" t="inlineStr">
        <is>
          <t>LC 214/2025; LC 123/2006 (opção pelo regime regular de IBS/CBS)</t>
        </is>
      </c>
    </row>
    <row r="899">
      <c r="A899" s="5" t="inlineStr">
        <is>
          <t>SR4-2030</t>
        </is>
      </c>
      <c r="B899" s="6" t="inlineStr">
        <is>
          <t>Crédito de IBS/CBS nas compras (só por fora)</t>
        </is>
      </c>
      <c r="C899" s="6" t="inlineStr">
        <is>
          <t>R$ 1.200.000,00 x 12,34%</t>
        </is>
      </c>
      <c r="D899" s="7" t="n">
        <v>148080</v>
      </c>
      <c r="E899" s="6" t="inlineStr">
        <is>
          <t>LC 214/2025; LC 123/2006 (opção pelo regime regular de IBS/CBS)</t>
        </is>
      </c>
    </row>
    <row r="900">
      <c r="A900" s="5" t="inlineStr">
        <is>
          <t>SR4-2030</t>
        </is>
      </c>
      <c r="B900" s="6" t="inlineStr">
        <is>
          <t>Receita líquida — IBS/CBS por fora</t>
        </is>
      </c>
      <c r="C900" s="6" t="inlineStr">
        <is>
          <t>R$ 2.000.000,00 x [80% B2B x (1 - e·s)(1 - e·(1-s)) + 20% B2C x (1 - e·(1-s)) / (1 + 12,34%)] + créditos</t>
        </is>
      </c>
      <c r="D900" s="7" t="n">
        <v>1920388.043056786</v>
      </c>
      <c r="E900" s="6" t="inlineStr">
        <is>
          <t>LC 214/2025; LC 123/2006 (opção pelo regime regular de IBS/CBS)</t>
        </is>
      </c>
    </row>
    <row r="901">
      <c r="A901" s="5" t="inlineStr">
        <is>
          <t>SR4-2031</t>
        </is>
      </c>
      <c r="B901" s="6" t="inlineStr">
        <is>
          <t>Anexo I: alíquota efetiva do DAS (2031)</t>
        </is>
      </c>
      <c r="C901" s="6" t="inlineStr">
        <is>
          <t>RBT12 R$ 2.000.000,00, 5ª faixa</t>
        </is>
      </c>
      <c r="D901" s="7" t="n">
        <v>0.09934999999999999</v>
      </c>
      <c r="E901" s="6" t="inlineStr">
        <is>
          <t>LC 123/2006, art. 18, §1º e §1º-A</t>
        </is>
      </c>
    </row>
    <row r="902">
      <c r="A902" s="5" t="inlineStr">
        <is>
          <t>SR4-2031</t>
        </is>
      </c>
      <c r="B902" s="6" t="inlineStr">
        <is>
          <t>Alíquota da fatia do DAS substituída por IBS/CBS</t>
        </is>
      </c>
      <c r="C902" s="6" t="inlineStr">
        <is>
          <t>CBS 15,50% + IBS 10,05% = 25,55% do DAS</t>
        </is>
      </c>
      <c r="D902" s="19" t="n">
        <v>0.2555</v>
      </c>
      <c r="E902" s="6" t="inlineStr">
        <is>
          <t>Res. CGSN 190/2026, Anexos I a V (partilha)</t>
        </is>
      </c>
    </row>
    <row r="903">
      <c r="A903" s="5" t="inlineStr">
        <is>
          <t>SR4-2031</t>
        </is>
      </c>
      <c r="B903" s="6" t="inlineStr">
        <is>
          <t>Alíquota de IBS/CBS na venda (por fora)</t>
        </is>
      </c>
      <c r="C903" s="6" t="inlineStr">
        <is>
          <t>com redução setorial de 0%</t>
        </is>
      </c>
      <c r="D903" s="19" t="n">
        <v>0.1411</v>
      </c>
      <c r="E903" s="6" t="inlineStr">
        <is>
          <t>LC 214/2025; LC 123/2006 (opção pelo regime regular de IBS/CBS)</t>
        </is>
      </c>
    </row>
    <row r="904">
      <c r="A904" s="5" t="inlineStr">
        <is>
          <t>SR4-2031</t>
        </is>
      </c>
      <c r="B904" s="6" t="inlineStr">
        <is>
          <t>Receita líquida — tudo no DAS</t>
        </is>
      </c>
      <c r="C904" s="6" t="inlineStr">
        <is>
          <t>R$ 2.000.000,00 x (1 - 9,94%)</t>
        </is>
      </c>
      <c r="D904" s="7" t="n">
        <v>1801300</v>
      </c>
      <c r="E904" s="6" t="inlineStr">
        <is>
          <t>LC 214/2025; LC 123/2006 (opção pelo regime regular de IBS/CBS)</t>
        </is>
      </c>
    </row>
    <row r="905">
      <c r="A905" s="5" t="inlineStr">
        <is>
          <t>SR4-2031</t>
        </is>
      </c>
      <c r="B905" s="6" t="inlineStr">
        <is>
          <t>Crédito de IBS/CBS nas compras (só por fora)</t>
        </is>
      </c>
      <c r="C905" s="6" t="inlineStr">
        <is>
          <t>R$ 1.200.000,00 x 14,11%</t>
        </is>
      </c>
      <c r="D905" s="7" t="n">
        <v>169320</v>
      </c>
      <c r="E905" s="6" t="inlineStr">
        <is>
          <t>LC 214/2025; LC 123/2006 (opção pelo regime regular de IBS/CBS)</t>
        </is>
      </c>
    </row>
    <row r="906">
      <c r="A906" s="5" t="inlineStr">
        <is>
          <t>SR4-2031</t>
        </is>
      </c>
      <c r="B906" s="6" t="inlineStr">
        <is>
          <t>Receita líquida — IBS/CBS por fora</t>
        </is>
      </c>
      <c r="C906" s="6" t="inlineStr">
        <is>
          <t>R$ 2.000.000,00 x [80% B2B x (1 - e·s)(1 - e·(1-s)) + 20% B2C x (1 - e·(1-s)) / (1 + 14,11%)] + créditos</t>
        </is>
      </c>
      <c r="D906" s="7" t="n">
        <v>1937975.041986326</v>
      </c>
      <c r="E906" s="6" t="inlineStr">
        <is>
          <t>LC 214/2025; LC 123/2006 (opção pelo regime regular de IBS/CBS)</t>
        </is>
      </c>
    </row>
    <row r="907">
      <c r="A907" s="5" t="inlineStr">
        <is>
          <t>SR4-2032</t>
        </is>
      </c>
      <c r="B907" s="6" t="inlineStr">
        <is>
          <t>Anexo I: alíquota efetiva do DAS (2032)</t>
        </is>
      </c>
      <c r="C907" s="6" t="inlineStr">
        <is>
          <t>RBT12 R$ 2.000.000,00, 5ª faixa</t>
        </is>
      </c>
      <c r="D907" s="7" t="n">
        <v>0.09934999999999999</v>
      </c>
      <c r="E907" s="6" t="inlineStr">
        <is>
          <t>LC 123/2006, art. 18, §1º e §1º-A</t>
        </is>
      </c>
    </row>
    <row r="908">
      <c r="A908" s="5" t="inlineStr">
        <is>
          <t>SR4-2032</t>
        </is>
      </c>
      <c r="B908" s="6" t="inlineStr">
        <is>
          <t>Alíquota da fatia do DAS substituída por IBS/CBS</t>
        </is>
      </c>
      <c r="C908" s="6" t="inlineStr">
        <is>
          <t>CBS 15,50% + IBS 13,40% = 28,90% do DAS</t>
        </is>
      </c>
      <c r="D908" s="19" t="n">
        <v>0.289</v>
      </c>
      <c r="E908" s="6" t="inlineStr">
        <is>
          <t>Res. CGSN 190/2026, Anexos I a V (partilha)</t>
        </is>
      </c>
    </row>
    <row r="909">
      <c r="A909" s="5" t="inlineStr">
        <is>
          <t>SR4-2032</t>
        </is>
      </c>
      <c r="B909" s="6" t="inlineStr">
        <is>
          <t>Alíquota de IBS/CBS na venda (por fora)</t>
        </is>
      </c>
      <c r="C909" s="6" t="inlineStr">
        <is>
          <t>com redução setorial de 0%</t>
        </is>
      </c>
      <c r="D909" s="19" t="n">
        <v>0.1588</v>
      </c>
      <c r="E909" s="6" t="inlineStr">
        <is>
          <t>LC 214/2025; LC 123/2006 (opção pelo regime regular de IBS/CBS)</t>
        </is>
      </c>
    </row>
    <row r="910">
      <c r="A910" s="5" t="inlineStr">
        <is>
          <t>SR4-2032</t>
        </is>
      </c>
      <c r="B910" s="6" t="inlineStr">
        <is>
          <t>Receita líquida — tudo no DAS</t>
        </is>
      </c>
      <c r="C910" s="6" t="inlineStr">
        <is>
          <t>R$ 2.000.000,00 x (1 - 9,94%)</t>
        </is>
      </c>
      <c r="D910" s="7" t="n">
        <v>1801300</v>
      </c>
      <c r="E910" s="6" t="inlineStr">
        <is>
          <t>LC 214/2025; LC 123/2006 (opção pelo regime regular de IBS/CBS)</t>
        </is>
      </c>
    </row>
    <row r="911">
      <c r="A911" s="5" t="inlineStr">
        <is>
          <t>SR4-2032</t>
        </is>
      </c>
      <c r="B911" s="6" t="inlineStr">
        <is>
          <t>Crédito de IBS/CBS nas compras (só por fora)</t>
        </is>
      </c>
      <c r="C911" s="6" t="inlineStr">
        <is>
          <t>R$ 1.200.000,00 x 15,88%</t>
        </is>
      </c>
      <c r="D911" s="7" t="n">
        <v>190560</v>
      </c>
      <c r="E911" s="6" t="inlineStr">
        <is>
          <t>LC 214/2025; LC 123/2006 (opção pelo regime regular de IBS/CBS)</t>
        </is>
      </c>
    </row>
    <row r="912">
      <c r="A912" s="5" t="inlineStr">
        <is>
          <t>SR4-2032</t>
        </is>
      </c>
      <c r="B912" s="6" t="inlineStr">
        <is>
          <t>Receita líquida — IBS/CBS por fora</t>
        </is>
      </c>
      <c r="C912" s="6" t="inlineStr">
        <is>
          <t>R$ 2.000.000,00 x [80% B2B x (1 - e·s)(1 - e·(1-s)) + 20% B2C x (1 - e·(1-s)) / (1 + 15,88%)] + créditos</t>
        </is>
      </c>
      <c r="D912" s="7" t="n">
        <v>1955646.63386207</v>
      </c>
      <c r="E912" s="6" t="inlineStr">
        <is>
          <t>LC 214/2025; LC 123/2006 (opção pelo regime regular de IBS/CBS)</t>
        </is>
      </c>
    </row>
    <row r="913">
      <c r="A913" s="5" t="inlineStr">
        <is>
          <t>SR5-2029</t>
        </is>
      </c>
      <c r="B913" s="6" t="inlineStr">
        <is>
          <t>Anexo III: alíquota efetiva do DAS (2029)</t>
        </is>
      </c>
      <c r="C913" s="6" t="inlineStr">
        <is>
          <t>RBT12 R$ 600.000,00, 3ª faixa</t>
        </is>
      </c>
      <c r="D913" s="7" t="n">
        <v>0.1056</v>
      </c>
      <c r="E913" s="6" t="inlineStr">
        <is>
          <t>LC 123/2006, art. 18, §1º e §1º-A</t>
        </is>
      </c>
    </row>
    <row r="914">
      <c r="A914" s="5" t="inlineStr">
        <is>
          <t>SR5-2029</t>
        </is>
      </c>
      <c r="B914" s="6" t="inlineStr">
        <is>
          <t>Alíquota da fatia do DAS substituída por IBS/CBS</t>
        </is>
      </c>
      <c r="C914" s="6" t="inlineStr">
        <is>
          <t>CBS 16,60% + IBS 3,25% = 19,85% do DAS</t>
        </is>
      </c>
      <c r="D914" s="19" t="n">
        <v>0.1985</v>
      </c>
      <c r="E914" s="6" t="inlineStr">
        <is>
          <t>Res. CGSN 190/2026, Anexos I a V (partilha)</t>
        </is>
      </c>
    </row>
    <row r="915">
      <c r="A915" s="5" t="inlineStr">
        <is>
          <t>SR5-2029</t>
        </is>
      </c>
      <c r="B915" s="6" t="inlineStr">
        <is>
          <t>Alíquota de IBS/CBS na venda (por fora)</t>
        </is>
      </c>
      <c r="C915" s="6" t="inlineStr">
        <is>
          <t>com redução setorial de 0%</t>
        </is>
      </c>
      <c r="D915" s="19" t="n">
        <v>0.1057</v>
      </c>
      <c r="E915" s="6" t="inlineStr">
        <is>
          <t>LC 214/2025; LC 123/2006 (opção pelo regime regular de IBS/CBS)</t>
        </is>
      </c>
    </row>
    <row r="916">
      <c r="A916" s="5" t="inlineStr">
        <is>
          <t>SR5-2029</t>
        </is>
      </c>
      <c r="B916" s="6" t="inlineStr">
        <is>
          <t>Receita líquida — tudo no DAS</t>
        </is>
      </c>
      <c r="C916" s="6" t="inlineStr">
        <is>
          <t>R$ 600.000,00 x (1 - 10,56%)</t>
        </is>
      </c>
      <c r="D916" s="7" t="n">
        <v>536640</v>
      </c>
      <c r="E916" s="6" t="inlineStr">
        <is>
          <t>LC 214/2025; LC 123/2006 (opção pelo regime regular de IBS/CBS)</t>
        </is>
      </c>
    </row>
    <row r="917">
      <c r="A917" s="5" t="inlineStr">
        <is>
          <t>SR5-2029</t>
        </is>
      </c>
      <c r="B917" s="6" t="inlineStr">
        <is>
          <t>Crédito de IBS/CBS nas compras (só por fora)</t>
        </is>
      </c>
      <c r="C917" s="6" t="inlineStr">
        <is>
          <t>R$ 0,00 x 10,57%</t>
        </is>
      </c>
      <c r="D917" s="7" t="n">
        <v>0</v>
      </c>
      <c r="E917" s="6" t="inlineStr">
        <is>
          <t>LC 214/2025; LC 123/2006 (opção pelo regime regular de IBS/CBS)</t>
        </is>
      </c>
    </row>
    <row r="918">
      <c r="A918" s="5" t="inlineStr">
        <is>
          <t>SR5-2029</t>
        </is>
      </c>
      <c r="B918" s="6" t="inlineStr">
        <is>
          <t>Receita líquida — IBS/CBS por fora</t>
        </is>
      </c>
      <c r="C918" s="6" t="inlineStr">
        <is>
          <t>R$ 600.000,00 x [100% B2B x (1 - e·s)(1 - e·(1-s)) + 0% B2C x (1 - e·(1-s)) / (1 + 10,57%)] + créditos</t>
        </is>
      </c>
      <c r="D918" s="7" t="n">
        <v>537704.493771264</v>
      </c>
      <c r="E918" s="6" t="inlineStr">
        <is>
          <t>LC 214/2025; LC 123/2006 (opção pelo regime regular de IBS/CBS)</t>
        </is>
      </c>
    </row>
    <row r="919">
      <c r="A919" s="5" t="inlineStr">
        <is>
          <t>SR5-2031</t>
        </is>
      </c>
      <c r="B919" s="6" t="inlineStr">
        <is>
          <t>Anexo III: alíquota efetiva do DAS (2031)</t>
        </is>
      </c>
      <c r="C919" s="6" t="inlineStr">
        <is>
          <t>RBT12 R$ 600.000,00, 3ª faixa</t>
        </is>
      </c>
      <c r="D919" s="7" t="n">
        <v>0.1056</v>
      </c>
      <c r="E919" s="6" t="inlineStr">
        <is>
          <t>LC 123/2006, art. 18, §1º e §1º-A</t>
        </is>
      </c>
    </row>
    <row r="920">
      <c r="A920" s="5" t="inlineStr">
        <is>
          <t>SR5-2031</t>
        </is>
      </c>
      <c r="B920" s="6" t="inlineStr">
        <is>
          <t>Alíquota da fatia do DAS substituída por IBS/CBS</t>
        </is>
      </c>
      <c r="C920" s="6" t="inlineStr">
        <is>
          <t>CBS 16,60% + IBS 9,75% = 26,35% do DAS</t>
        </is>
      </c>
      <c r="D920" s="19" t="n">
        <v>0.2635</v>
      </c>
      <c r="E920" s="6" t="inlineStr">
        <is>
          <t>Res. CGSN 190/2026, Anexos I a V (partilha)</t>
        </is>
      </c>
    </row>
    <row r="921">
      <c r="A921" s="5" t="inlineStr">
        <is>
          <t>SR5-2031</t>
        </is>
      </c>
      <c r="B921" s="6" t="inlineStr">
        <is>
          <t>Alíquota de IBS/CBS na venda (por fora)</t>
        </is>
      </c>
      <c r="C921" s="6" t="inlineStr">
        <is>
          <t>com redução setorial de 0%</t>
        </is>
      </c>
      <c r="D921" s="19" t="n">
        <v>0.1411</v>
      </c>
      <c r="E921" s="6" t="inlineStr">
        <is>
          <t>LC 214/2025; LC 123/2006 (opção pelo regime regular de IBS/CBS)</t>
        </is>
      </c>
    </row>
    <row r="922">
      <c r="A922" s="5" t="inlineStr">
        <is>
          <t>SR5-2031</t>
        </is>
      </c>
      <c r="B922" s="6" t="inlineStr">
        <is>
          <t>Receita líquida — tudo no DAS</t>
        </is>
      </c>
      <c r="C922" s="6" t="inlineStr">
        <is>
          <t>R$ 600.000,00 x (1 - 10,56%)</t>
        </is>
      </c>
      <c r="D922" s="7" t="n">
        <v>536640</v>
      </c>
      <c r="E922" s="6" t="inlineStr">
        <is>
          <t>LC 214/2025; LC 123/2006 (opção pelo regime regular de IBS/CBS)</t>
        </is>
      </c>
    </row>
    <row r="923">
      <c r="A923" s="5" t="inlineStr">
        <is>
          <t>SR5-2031</t>
        </is>
      </c>
      <c r="B923" s="6" t="inlineStr">
        <is>
          <t>Crédito de IBS/CBS nas compras (só por fora)</t>
        </is>
      </c>
      <c r="C923" s="6" t="inlineStr">
        <is>
          <t>R$ 0,00 x 14,11%</t>
        </is>
      </c>
      <c r="D923" s="7" t="n">
        <v>0</v>
      </c>
      <c r="E923" s="6" t="inlineStr">
        <is>
          <t>LC 214/2025; LC 123/2006 (opção pelo regime regular de IBS/CBS)</t>
        </is>
      </c>
    </row>
    <row r="924">
      <c r="A924" s="5" t="inlineStr">
        <is>
          <t>SR5-2031</t>
        </is>
      </c>
      <c r="B924" s="6" t="inlineStr">
        <is>
          <t>Receita líquida — IBS/CBS por fora</t>
        </is>
      </c>
      <c r="C924" s="6" t="inlineStr">
        <is>
          <t>R$ 600.000,00 x [100% B2B x (1 - e·s)(1 - e·(1-s)) + 0% B2C x (1 - e·(1-s)) / (1 + 14,11%)] + créditos</t>
        </is>
      </c>
      <c r="D924" s="7" t="n">
        <v>537938.471606784</v>
      </c>
      <c r="E924" s="6" t="inlineStr">
        <is>
          <t>LC 214/2025; LC 123/2006 (opção pelo regime regular de IBS/CBS)</t>
        </is>
      </c>
    </row>
    <row r="925">
      <c r="A925" s="5" t="inlineStr">
        <is>
          <t>SR6-2028</t>
        </is>
      </c>
      <c r="B925" s="6" t="inlineStr">
        <is>
          <t>Anexo III: alíquota efetiva do DAS (2028)</t>
        </is>
      </c>
      <c r="C925" s="6" t="inlineStr">
        <is>
          <t>RBT12 R$ 3.000.000,00, 5ª faixa</t>
        </is>
      </c>
      <c r="D925" s="7" t="n">
        <v>0.16812</v>
      </c>
      <c r="E925" s="6" t="inlineStr">
        <is>
          <t>LC 123/2006, art. 18, §1º e §1º-A</t>
        </is>
      </c>
    </row>
    <row r="926">
      <c r="A926" s="5" t="inlineStr">
        <is>
          <t>SR6-2028</t>
        </is>
      </c>
      <c r="B926" s="6" t="inlineStr">
        <is>
          <t>Alíquota da fatia do DAS substituída por IBS/CBS</t>
        </is>
      </c>
      <c r="C926" s="6" t="inlineStr">
        <is>
          <t>CBS 16,30% + IBS 0,18% = 16,48% do DAS</t>
        </is>
      </c>
      <c r="D926" s="19" t="n">
        <v>0.1648188994971369</v>
      </c>
      <c r="E926" s="6" t="inlineStr">
        <is>
          <t>Res. CGSN 190/2026, Anexos I a V (partilha)</t>
        </is>
      </c>
    </row>
    <row r="927">
      <c r="A927" s="5" t="inlineStr">
        <is>
          <t>SR6-2028</t>
        </is>
      </c>
      <c r="B927" s="6" t="inlineStr">
        <is>
          <t>Alíquota de IBS/CBS na venda (por fora)</t>
        </is>
      </c>
      <c r="C927" s="6" t="inlineStr">
        <is>
          <t>com redução setorial de 0%</t>
        </is>
      </c>
      <c r="D927" s="19" t="n">
        <v>0.08799999999999999</v>
      </c>
      <c r="E927" s="6" t="inlineStr">
        <is>
          <t>LC 214/2025; LC 123/2006 (opção pelo regime regular de IBS/CBS)</t>
        </is>
      </c>
    </row>
    <row r="928">
      <c r="A928" s="5" t="inlineStr">
        <is>
          <t>SR6-2028</t>
        </is>
      </c>
      <c r="B928" s="6" t="inlineStr">
        <is>
          <t>Receita líquida — tudo no DAS</t>
        </is>
      </c>
      <c r="C928" s="6" t="inlineStr">
        <is>
          <t>R$ 3.000.000,00 x (1 - 16,81%)</t>
        </is>
      </c>
      <c r="D928" s="7" t="n">
        <v>2495640</v>
      </c>
      <c r="E928" s="6" t="inlineStr">
        <is>
          <t>LC 214/2025; LC 123/2006 (opção pelo regime regular de IBS/CBS)</t>
        </is>
      </c>
    </row>
    <row r="929">
      <c r="A929" s="5" t="inlineStr">
        <is>
          <t>SR6-2028</t>
        </is>
      </c>
      <c r="B929" s="6" t="inlineStr">
        <is>
          <t>Crédito de IBS/CBS nas compras (só por fora)</t>
        </is>
      </c>
      <c r="C929" s="6" t="inlineStr">
        <is>
          <t>R$ 0,00 x 8,80%</t>
        </is>
      </c>
      <c r="D929" s="7" t="n">
        <v>0</v>
      </c>
      <c r="E929" s="6" t="inlineStr">
        <is>
          <t>LC 214/2025; LC 123/2006 (opção pelo regime regular de IBS/CBS)</t>
        </is>
      </c>
    </row>
    <row r="930">
      <c r="A930" s="5" t="inlineStr">
        <is>
          <t>SR6-2028</t>
        </is>
      </c>
      <c r="B930" s="6" t="inlineStr">
        <is>
          <t>Receita líquida — IBS/CBS por fora</t>
        </is>
      </c>
      <c r="C930" s="6" t="inlineStr">
        <is>
          <t>R$ 3.000.000,00 x [50% B2B x (1 - e·s)(1 - e·(1-s)) + 50% B2C x (1 - e·(1-s)) / (1 + 8,80%)] + créditos</t>
        </is>
      </c>
      <c r="D930" s="7" t="n">
        <v>2438751.648216777</v>
      </c>
      <c r="E930" s="6" t="inlineStr">
        <is>
          <t>LC 214/2025; LC 123/2006 (opção pelo regime regular de IBS/CBS)</t>
        </is>
      </c>
    </row>
    <row r="931">
      <c r="A931" s="5" t="inlineStr">
        <is>
          <t>SR6-2029</t>
        </is>
      </c>
      <c r="B931" s="6" t="inlineStr">
        <is>
          <t>Anexo III: alíquota efetiva do DAS (2029)</t>
        </is>
      </c>
      <c r="C931" s="6" t="inlineStr">
        <is>
          <t>RBT12 R$ 3.000.000,00, 5ª faixa</t>
        </is>
      </c>
      <c r="D931" s="7" t="n">
        <v>0.16812</v>
      </c>
      <c r="E931" s="6" t="inlineStr">
        <is>
          <t>LC 123/2006, art. 18, §1º e §1º-A</t>
        </is>
      </c>
    </row>
    <row r="932">
      <c r="A932" s="5" t="inlineStr">
        <is>
          <t>SR6-2029</t>
        </is>
      </c>
      <c r="B932" s="6" t="inlineStr">
        <is>
          <t>Alíquota da fatia do DAS substituída por IBS/CBS</t>
        </is>
      </c>
      <c r="C932" s="6" t="inlineStr">
        <is>
          <t>CBS 16,36% + IBS 3,51% = 19,87% do DAS</t>
        </is>
      </c>
      <c r="D932" s="19" t="n">
        <v>0.1986790292443734</v>
      </c>
      <c r="E932" s="6" t="inlineStr">
        <is>
          <t>Res. CGSN 190/2026, Anexos I a V (partilha)</t>
        </is>
      </c>
    </row>
    <row r="933">
      <c r="A933" s="5" t="inlineStr">
        <is>
          <t>SR6-2029</t>
        </is>
      </c>
      <c r="B933" s="6" t="inlineStr">
        <is>
          <t>Alíquota de IBS/CBS na venda (por fora)</t>
        </is>
      </c>
      <c r="C933" s="6" t="inlineStr">
        <is>
          <t>com redução setorial de 0%</t>
        </is>
      </c>
      <c r="D933" s="19" t="n">
        <v>0.1057</v>
      </c>
      <c r="E933" s="6" t="inlineStr">
        <is>
          <t>LC 214/2025; LC 123/2006 (opção pelo regime regular de IBS/CBS)</t>
        </is>
      </c>
    </row>
    <row r="934">
      <c r="A934" s="5" t="inlineStr">
        <is>
          <t>SR6-2029</t>
        </is>
      </c>
      <c r="B934" s="6" t="inlineStr">
        <is>
          <t>Receita líquida — tudo no DAS</t>
        </is>
      </c>
      <c r="C934" s="6" t="inlineStr">
        <is>
          <t>R$ 3.000.000,00 x (1 - 16,81%)</t>
        </is>
      </c>
      <c r="D934" s="7" t="n">
        <v>2495640</v>
      </c>
      <c r="E934" s="6" t="inlineStr">
        <is>
          <t>LC 214/2025; LC 123/2006 (opção pelo regime regular de IBS/CBS)</t>
        </is>
      </c>
    </row>
    <row r="935">
      <c r="A935" s="5" t="inlineStr">
        <is>
          <t>SR6-2029</t>
        </is>
      </c>
      <c r="B935" s="6" t="inlineStr">
        <is>
          <t>Crédito de IBS/CBS nas compras (só por fora)</t>
        </is>
      </c>
      <c r="C935" s="6" t="inlineStr">
        <is>
          <t>R$ 0,00 x 10,57%</t>
        </is>
      </c>
      <c r="D935" s="7" t="n">
        <v>0</v>
      </c>
      <c r="E935" s="6" t="inlineStr">
        <is>
          <t>LC 214/2025; LC 123/2006 (opção pelo regime regular de IBS/CBS)</t>
        </is>
      </c>
    </row>
    <row r="936">
      <c r="A936" s="5" t="inlineStr">
        <is>
          <t>SR6-2029</t>
        </is>
      </c>
      <c r="B936" s="6" t="inlineStr">
        <is>
          <t>Receita líquida — IBS/CBS por fora</t>
        </is>
      </c>
      <c r="C936" s="6" t="inlineStr">
        <is>
          <t>R$ 3.000.000,00 x [50% B2B x (1 - e·s)(1 - e·(1-s)) + 50% B2C x (1 - e·(1-s)) / (1 + 10,57%)] + créditos</t>
        </is>
      </c>
      <c r="D936" s="7" t="n">
        <v>2428416.989377519</v>
      </c>
      <c r="E936" s="6" t="inlineStr">
        <is>
          <t>LC 214/2025; LC 123/2006 (opção pelo regime regular de IBS/CBS)</t>
        </is>
      </c>
    </row>
    <row r="937">
      <c r="A937" s="5" t="inlineStr">
        <is>
          <t>SR6-2032</t>
        </is>
      </c>
      <c r="B937" s="6" t="inlineStr">
        <is>
          <t>Anexo III: alíquota efetiva do DAS (2032)</t>
        </is>
      </c>
      <c r="C937" s="6" t="inlineStr">
        <is>
          <t>RBT12 R$ 3.000.000,00, 5ª faixa</t>
        </is>
      </c>
      <c r="D937" s="7" t="n">
        <v>0.16812</v>
      </c>
      <c r="E937" s="6" t="inlineStr">
        <is>
          <t>LC 123/2006, art. 18, §1º e §1º-A</t>
        </is>
      </c>
    </row>
    <row r="938">
      <c r="A938" s="5" t="inlineStr">
        <is>
          <t>SR6-2032</t>
        </is>
      </c>
      <c r="B938" s="6" t="inlineStr">
        <is>
          <t>Alíquota da fatia do DAS substituída por IBS/CBS</t>
        </is>
      </c>
      <c r="C938" s="6" t="inlineStr">
        <is>
          <t>CBS 16,04% + IBS 13,78% = 29,82% do DAS</t>
        </is>
      </c>
      <c r="D938" s="19" t="n">
        <v>0.2981867948783231</v>
      </c>
      <c r="E938" s="6" t="inlineStr">
        <is>
          <t>Res. CGSN 190/2026, Anexos I a V (partilha)</t>
        </is>
      </c>
    </row>
    <row r="939">
      <c r="A939" s="5" t="inlineStr">
        <is>
          <t>SR6-2032</t>
        </is>
      </c>
      <c r="B939" s="6" t="inlineStr">
        <is>
          <t>Alíquota de IBS/CBS na venda (por fora)</t>
        </is>
      </c>
      <c r="C939" s="6" t="inlineStr">
        <is>
          <t>com redução setorial de 0%</t>
        </is>
      </c>
      <c r="D939" s="19" t="n">
        <v>0.1588</v>
      </c>
      <c r="E939" s="6" t="inlineStr">
        <is>
          <t>LC 214/2025; LC 123/2006 (opção pelo regime regular de IBS/CBS)</t>
        </is>
      </c>
    </row>
    <row r="940">
      <c r="A940" s="5" t="inlineStr">
        <is>
          <t>SR6-2032</t>
        </is>
      </c>
      <c r="B940" s="6" t="inlineStr">
        <is>
          <t>Receita líquida — tudo no DAS</t>
        </is>
      </c>
      <c r="C940" s="6" t="inlineStr">
        <is>
          <t>R$ 3.000.000,00 x (1 - 16,81%)</t>
        </is>
      </c>
      <c r="D940" s="7" t="n">
        <v>2495640</v>
      </c>
      <c r="E940" s="6" t="inlineStr">
        <is>
          <t>LC 214/2025; LC 123/2006 (opção pelo regime regular de IBS/CBS)</t>
        </is>
      </c>
    </row>
    <row r="941">
      <c r="A941" s="5" t="inlineStr">
        <is>
          <t>SR6-2032</t>
        </is>
      </c>
      <c r="B941" s="6" t="inlineStr">
        <is>
          <t>Crédito de IBS/CBS nas compras (só por fora)</t>
        </is>
      </c>
      <c r="C941" s="6" t="inlineStr">
        <is>
          <t>R$ 0,00 x 15,88%</t>
        </is>
      </c>
      <c r="D941" s="7" t="n">
        <v>0</v>
      </c>
      <c r="E941" s="6" t="inlineStr">
        <is>
          <t>LC 214/2025; LC 123/2006 (opção pelo regime regular de IBS/CBS)</t>
        </is>
      </c>
    </row>
    <row r="942">
      <c r="A942" s="5" t="inlineStr">
        <is>
          <t>SR6-2032</t>
        </is>
      </c>
      <c r="B942" s="6" t="inlineStr">
        <is>
          <t>Receita líquida — IBS/CBS por fora</t>
        </is>
      </c>
      <c r="C942" s="6" t="inlineStr">
        <is>
          <t>R$ 3.000.000,00 x [50% B2B x (1 - e·s)(1 - e·(1-s)) + 50% B2C x (1 - e·(1-s)) / (1 + 15,88%)] + créditos</t>
        </is>
      </c>
      <c r="D942" s="7" t="n">
        <v>2398405.136220086</v>
      </c>
      <c r="E942" s="6" t="inlineStr">
        <is>
          <t>LC 214/2025; LC 123/2006 (opção pelo regime regular de IBS/CBS)</t>
        </is>
      </c>
    </row>
    <row r="943">
      <c r="A943" s="5" t="inlineStr">
        <is>
          <t>AU1-PF</t>
        </is>
      </c>
      <c r="B943" s="6" t="inlineStr">
        <is>
          <t>INSS contribuinte individual</t>
        </is>
      </c>
      <c r="C943" s="6" t="inlineStr">
        <is>
          <t>20% x mín(R$ 6.000,00; teto R$ 8.475,55)</t>
        </is>
      </c>
      <c r="D943" s="7" t="n">
        <v>1200</v>
      </c>
      <c r="E943" s="6" t="inlineStr">
        <is>
          <t>Lei 8.212/1991, art. 21</t>
        </is>
      </c>
    </row>
    <row r="944">
      <c r="A944" s="5" t="inlineStr">
        <is>
          <t>AU1-PF</t>
        </is>
      </c>
      <c r="B944" s="6" t="inlineStr">
        <is>
          <t>Dedução aplicada</t>
        </is>
      </c>
      <c r="C944" s="6" t="inlineStr">
        <is>
          <t>maior entre deduções legais R$ 1.200,00 e desconto simplificado R$ 607,20</t>
        </is>
      </c>
      <c r="D944" s="7" t="n">
        <v>1200</v>
      </c>
      <c r="E944" s="6" t="inlineStr">
        <is>
          <t>Lei 9.250/1995, art. 4º; Lei 15.191/2025</t>
        </is>
      </c>
    </row>
    <row r="945">
      <c r="A945" s="5" t="inlineStr">
        <is>
          <t>AU1-PF</t>
        </is>
      </c>
      <c r="B945" s="6" t="inlineStr">
        <is>
          <t>Base de cálculo</t>
        </is>
      </c>
      <c r="C945" s="6" t="inlineStr">
        <is>
          <t>R$ 6.000,00 - R$ 1.200,00</t>
        </is>
      </c>
      <c r="D945" s="7" t="n">
        <v>4800</v>
      </c>
      <c r="E945" s="6" t="inlineStr"/>
    </row>
    <row r="946">
      <c r="A946" s="5" t="inlineStr">
        <is>
          <t>AU1-PF</t>
        </is>
      </c>
      <c r="B946" s="6" t="inlineStr">
        <is>
          <t>Imposto pela tabela progressiva</t>
        </is>
      </c>
      <c r="C946" s="6" t="inlineStr">
        <is>
          <t>R$ 4.800,00 x 27,5% - R$ 908,73</t>
        </is>
      </c>
      <c r="D946" s="7" t="n">
        <v>411.27</v>
      </c>
      <c r="E946" s="6" t="inlineStr">
        <is>
          <t>Lei 15.191/2025 (tabela) + Lei 15.270/2025 (redução)</t>
        </is>
      </c>
    </row>
    <row r="947">
      <c r="A947" s="5" t="inlineStr">
        <is>
          <t>AU1-PF</t>
        </is>
      </c>
      <c r="B947" s="6" t="inlineStr">
        <is>
          <t>Redução Lei 15.270/2025</t>
        </is>
      </c>
      <c r="C947" s="6" t="inlineStr">
        <is>
          <t>R$ 978,62 - 0.133145 x R$ 6.000,00</t>
        </is>
      </c>
      <c r="D947" s="7" t="n">
        <v>179.75</v>
      </c>
      <c r="E947" s="6" t="inlineStr">
        <is>
          <t>Lei 15.270/2025</t>
        </is>
      </c>
    </row>
    <row r="948">
      <c r="A948" s="5" t="inlineStr">
        <is>
          <t>AU1-MEI</t>
        </is>
      </c>
      <c r="B948" s="6" t="inlineStr">
        <is>
          <t>INSS do MEI</t>
        </is>
      </c>
      <c r="C948" s="6" t="inlineStr">
        <is>
          <t>5% x salário mínimo R$ 1.621,00</t>
        </is>
      </c>
      <c r="D948" s="7" t="n">
        <v>81.05</v>
      </c>
      <c r="E948" s="6" t="inlineStr">
        <is>
          <t>LC 123/2006, art. 18-A</t>
        </is>
      </c>
    </row>
    <row r="949">
      <c r="A949" s="5" t="inlineStr">
        <is>
          <t>AU1-MEI</t>
        </is>
      </c>
      <c r="B949" s="6" t="inlineStr">
        <is>
          <t>ISS fixo</t>
        </is>
      </c>
      <c r="C949" s="6" t="inlineStr">
        <is>
          <t>valor fixo mensal</t>
        </is>
      </c>
      <c r="D949" s="7" t="n">
        <v>5</v>
      </c>
      <c r="E949" s="6" t="inlineStr">
        <is>
          <t>LC 123/2006, art. 18-A, §3º</t>
        </is>
      </c>
    </row>
    <row r="950">
      <c r="A950" s="5" t="inlineStr">
        <is>
          <t>AU1-SN</t>
        </is>
      </c>
      <c r="B950" s="6" t="inlineStr">
        <is>
          <t>Fator R (folha 12 meses / RBT12)</t>
        </is>
      </c>
      <c r="C950" s="6" t="inlineStr">
        <is>
          <t>R$ 20.160,12 (salários + pró-labore + FGTS 8%) / R$ 72.000,00 = 28,00% -&gt; Anexo III</t>
        </is>
      </c>
      <c r="D950" s="19" t="n">
        <v>0.2800016666666666</v>
      </c>
      <c r="E950" s="6" t="inlineStr">
        <is>
          <t>LC 123/2006, art. 18, §5º-J, §5º-M e §24</t>
        </is>
      </c>
    </row>
    <row r="951">
      <c r="A951" s="5" t="inlineStr">
        <is>
          <t>AU1-SN</t>
        </is>
      </c>
      <c r="B951" s="6" t="inlineStr">
        <is>
          <t>Alíquota efetiva - Anexo III, 1ª faixa</t>
        </is>
      </c>
      <c r="C951" s="6" t="inlineStr">
        <is>
          <t>(R$ 72.000,00 x 6,00% - R$ 0,00) / R$ 72.000,00 = 6,0000%</t>
        </is>
      </c>
      <c r="D951" s="19" t="n">
        <v>0.06</v>
      </c>
      <c r="E951" s="6" t="inlineStr">
        <is>
          <t>LC 123/2006, art. 18, §1º e §1º-A</t>
        </is>
      </c>
    </row>
    <row r="952">
      <c r="A952" s="5" t="inlineStr">
        <is>
          <t>AU1-SN</t>
        </is>
      </c>
      <c r="B952" s="6" t="inlineStr">
        <is>
          <t>DAS anual</t>
        </is>
      </c>
      <c r="C952" s="6" t="inlineStr">
        <is>
          <t>R$ 72.000,00 x 6,0000%</t>
        </is>
      </c>
      <c r="D952" s="7" t="n">
        <v>4320</v>
      </c>
      <c r="E952" s="6" t="inlineStr">
        <is>
          <t>LC 123/2006, art. 13</t>
        </is>
      </c>
    </row>
    <row r="953">
      <c r="A953" s="5" t="inlineStr">
        <is>
          <t>AU1-SN</t>
        </is>
      </c>
      <c r="B953" s="6" t="inlineStr">
        <is>
          <t>DAS mensal</t>
        </is>
      </c>
      <c r="C953" s="6" t="inlineStr">
        <is>
          <t>R$ 4.320,00 / 12</t>
        </is>
      </c>
      <c r="D953" s="7" t="n">
        <v>360</v>
      </c>
      <c r="E953" s="6" t="inlineStr"/>
    </row>
    <row r="954">
      <c r="A954" s="5" t="inlineStr">
        <is>
          <t>AU1-SN</t>
        </is>
      </c>
      <c r="B954" s="6" t="inlineStr">
        <is>
          <t>INSS do sócio</t>
        </is>
      </c>
      <c r="C954" s="6" t="inlineStr">
        <is>
          <t>R$ 1.680,01 x 11%</t>
        </is>
      </c>
      <c r="D954" s="7" t="n">
        <v>184.8</v>
      </c>
      <c r="E954" s="6" t="inlineStr">
        <is>
          <t>Lei 8.212/1991, art. 21</t>
        </is>
      </c>
    </row>
    <row r="955">
      <c r="A955" s="5" t="inlineStr">
        <is>
          <t>AU1-LP</t>
        </is>
      </c>
      <c r="B955" s="6" t="inlineStr">
        <is>
          <t>Percentuais de presunção</t>
        </is>
      </c>
      <c r="C955" s="6" t="inlineStr">
        <is>
          <t>Prestação de serviços em geral: IRPJ 32,0%, CSLL 32,0%</t>
        </is>
      </c>
      <c r="D955" s="19" t="n">
        <v>0.32</v>
      </c>
      <c r="E955" s="6" t="inlineStr">
        <is>
          <t>Lei 9.249/1995, art. 15, §1º e art. 20</t>
        </is>
      </c>
    </row>
    <row r="956">
      <c r="A956" s="5" t="inlineStr">
        <is>
          <t>AU1-LP</t>
        </is>
      </c>
      <c r="B956" s="6" t="inlineStr">
        <is>
          <t>1º tri - base presumida IRPJ</t>
        </is>
      </c>
      <c r="C956" s="6" t="inlineStr">
        <is>
          <t>R$ 18.000,00 x 32,0%</t>
        </is>
      </c>
      <c r="D956" s="7" t="n">
        <v>5760</v>
      </c>
      <c r="E956" s="6" t="inlineStr">
        <is>
          <t>Lei 9.249/1995, arts. 15 e 20</t>
        </is>
      </c>
    </row>
    <row r="957">
      <c r="A957" s="5" t="inlineStr">
        <is>
          <t>AU1-LP</t>
        </is>
      </c>
      <c r="B957" s="6" t="inlineStr">
        <is>
          <t>1º tri - IRPJ</t>
        </is>
      </c>
      <c r="C957" s="6" t="inlineStr">
        <is>
          <t>R$ 5.760,00 x 15% + adicional 10% sobre o que exceder R$ 60.000,00</t>
        </is>
      </c>
      <c r="D957" s="7" t="n">
        <v>864</v>
      </c>
      <c r="E957" s="6" t="inlineStr">
        <is>
          <t>Lei 9.430/1996, arts. 3º e 4º</t>
        </is>
      </c>
    </row>
    <row r="958">
      <c r="A958" s="5" t="inlineStr">
        <is>
          <t>AU1-LP</t>
        </is>
      </c>
      <c r="B958" s="6" t="inlineStr">
        <is>
          <t>1º tri - base presumida CSLL</t>
        </is>
      </c>
      <c r="C958" s="6" t="inlineStr">
        <is>
          <t>R$ 18.000,00 x 32,0%</t>
        </is>
      </c>
      <c r="D958" s="7" t="n">
        <v>5760</v>
      </c>
      <c r="E958" s="6" t="inlineStr">
        <is>
          <t>Lei 9.249/1995, arts. 15 e 20</t>
        </is>
      </c>
    </row>
    <row r="959">
      <c r="A959" s="5" t="inlineStr">
        <is>
          <t>AU1-LP</t>
        </is>
      </c>
      <c r="B959" s="6" t="inlineStr">
        <is>
          <t>1º tri - CSLL</t>
        </is>
      </c>
      <c r="C959" s="6" t="inlineStr">
        <is>
          <t>R$ 5.760,00 x 9%</t>
        </is>
      </c>
      <c r="D959" s="7" t="n">
        <v>518.4</v>
      </c>
      <c r="E959" s="6" t="inlineStr">
        <is>
          <t>Lei 7.689/1988, art. 3º</t>
        </is>
      </c>
    </row>
    <row r="960">
      <c r="A960" s="5" t="inlineStr">
        <is>
          <t>AU1-LP</t>
        </is>
      </c>
      <c r="B960" s="6" t="inlineStr">
        <is>
          <t>2º tri - base presumida IRPJ</t>
        </is>
      </c>
      <c r="C960" s="6" t="inlineStr">
        <is>
          <t>R$ 18.000,00 x 32,0%</t>
        </is>
      </c>
      <c r="D960" s="7" t="n">
        <v>5760</v>
      </c>
      <c r="E960" s="6" t="inlineStr">
        <is>
          <t>Lei 9.249/1995, arts. 15 e 20</t>
        </is>
      </c>
    </row>
    <row r="961">
      <c r="A961" s="5" t="inlineStr">
        <is>
          <t>AU1-LP</t>
        </is>
      </c>
      <c r="B961" s="6" t="inlineStr">
        <is>
          <t>2º tri - IRPJ</t>
        </is>
      </c>
      <c r="C961" s="6" t="inlineStr">
        <is>
          <t>R$ 5.760,00 x 15% + adicional 10% sobre o que exceder R$ 60.000,00</t>
        </is>
      </c>
      <c r="D961" s="7" t="n">
        <v>864</v>
      </c>
      <c r="E961" s="6" t="inlineStr">
        <is>
          <t>Lei 9.430/1996, arts. 3º e 4º</t>
        </is>
      </c>
    </row>
    <row r="962">
      <c r="A962" s="5" t="inlineStr">
        <is>
          <t>AU1-LP</t>
        </is>
      </c>
      <c r="B962" s="6" t="inlineStr">
        <is>
          <t>2º tri - base presumida CSLL</t>
        </is>
      </c>
      <c r="C962" s="6" t="inlineStr">
        <is>
          <t>R$ 18.000,00 x 32,0%</t>
        </is>
      </c>
      <c r="D962" s="7" t="n">
        <v>5760</v>
      </c>
      <c r="E962" s="6" t="inlineStr">
        <is>
          <t>Lei 9.249/1995, arts. 15 e 20</t>
        </is>
      </c>
    </row>
    <row r="963">
      <c r="A963" s="5" t="inlineStr">
        <is>
          <t>AU1-LP</t>
        </is>
      </c>
      <c r="B963" s="6" t="inlineStr">
        <is>
          <t>2º tri - CSLL</t>
        </is>
      </c>
      <c r="C963" s="6" t="inlineStr">
        <is>
          <t>R$ 5.760,00 x 9%</t>
        </is>
      </c>
      <c r="D963" s="7" t="n">
        <v>518.4</v>
      </c>
      <c r="E963" s="6" t="inlineStr">
        <is>
          <t>Lei 7.689/1988, art. 3º</t>
        </is>
      </c>
    </row>
    <row r="964">
      <c r="A964" s="5" t="inlineStr">
        <is>
          <t>AU1-LP</t>
        </is>
      </c>
      <c r="B964" s="6" t="inlineStr">
        <is>
          <t>3º tri - base presumida IRPJ</t>
        </is>
      </c>
      <c r="C964" s="6" t="inlineStr">
        <is>
          <t>R$ 18.000,00 x 32,0%</t>
        </is>
      </c>
      <c r="D964" s="7" t="n">
        <v>5760</v>
      </c>
      <c r="E964" s="6" t="inlineStr">
        <is>
          <t>Lei 9.249/1995, arts. 15 e 20</t>
        </is>
      </c>
    </row>
    <row r="965">
      <c r="A965" s="5" t="inlineStr">
        <is>
          <t>AU1-LP</t>
        </is>
      </c>
      <c r="B965" s="6" t="inlineStr">
        <is>
          <t>3º tri - IRPJ</t>
        </is>
      </c>
      <c r="C965" s="6" t="inlineStr">
        <is>
          <t>R$ 5.760,00 x 15% + adicional 10% sobre o que exceder R$ 60.000,00</t>
        </is>
      </c>
      <c r="D965" s="7" t="n">
        <v>864</v>
      </c>
      <c r="E965" s="6" t="inlineStr">
        <is>
          <t>Lei 9.430/1996, arts. 3º e 4º</t>
        </is>
      </c>
    </row>
    <row r="966">
      <c r="A966" s="5" t="inlineStr">
        <is>
          <t>AU1-LP</t>
        </is>
      </c>
      <c r="B966" s="6" t="inlineStr">
        <is>
          <t>3º tri - base presumida CSLL</t>
        </is>
      </c>
      <c r="C966" s="6" t="inlineStr">
        <is>
          <t>R$ 18.000,00 x 32,0%</t>
        </is>
      </c>
      <c r="D966" s="7" t="n">
        <v>5760</v>
      </c>
      <c r="E966" s="6" t="inlineStr">
        <is>
          <t>Lei 9.249/1995, arts. 15 e 20</t>
        </is>
      </c>
    </row>
    <row r="967">
      <c r="A967" s="5" t="inlineStr">
        <is>
          <t>AU1-LP</t>
        </is>
      </c>
      <c r="B967" s="6" t="inlineStr">
        <is>
          <t>3º tri - CSLL</t>
        </is>
      </c>
      <c r="C967" s="6" t="inlineStr">
        <is>
          <t>R$ 5.760,00 x 9%</t>
        </is>
      </c>
      <c r="D967" s="7" t="n">
        <v>518.4</v>
      </c>
      <c r="E967" s="6" t="inlineStr">
        <is>
          <t>Lei 7.689/1988, art. 3º</t>
        </is>
      </c>
    </row>
    <row r="968">
      <c r="A968" s="5" t="inlineStr">
        <is>
          <t>AU1-LP</t>
        </is>
      </c>
      <c r="B968" s="6" t="inlineStr">
        <is>
          <t>4º tri - base presumida IRPJ</t>
        </is>
      </c>
      <c r="C968" s="6" t="inlineStr">
        <is>
          <t>R$ 18.000,00 x 32,0%</t>
        </is>
      </c>
      <c r="D968" s="7" t="n">
        <v>5760</v>
      </c>
      <c r="E968" s="6" t="inlineStr">
        <is>
          <t>Lei 9.249/1995, arts. 15 e 20</t>
        </is>
      </c>
    </row>
    <row r="969">
      <c r="A969" s="5" t="inlineStr">
        <is>
          <t>AU1-LP</t>
        </is>
      </c>
      <c r="B969" s="6" t="inlineStr">
        <is>
          <t>4º tri - IRPJ</t>
        </is>
      </c>
      <c r="C969" s="6" t="inlineStr">
        <is>
          <t>R$ 5.760,00 x 15% + adicional 10% sobre o que exceder R$ 60.000,00</t>
        </is>
      </c>
      <c r="D969" s="7" t="n">
        <v>864</v>
      </c>
      <c r="E969" s="6" t="inlineStr">
        <is>
          <t>Lei 9.430/1996, arts. 3º e 4º</t>
        </is>
      </c>
    </row>
    <row r="970">
      <c r="A970" s="5" t="inlineStr">
        <is>
          <t>AU1-LP</t>
        </is>
      </c>
      <c r="B970" s="6" t="inlineStr">
        <is>
          <t>4º tri - base presumida CSLL</t>
        </is>
      </c>
      <c r="C970" s="6" t="inlineStr">
        <is>
          <t>R$ 18.000,00 x 32,0%</t>
        </is>
      </c>
      <c r="D970" s="7" t="n">
        <v>5760</v>
      </c>
      <c r="E970" s="6" t="inlineStr">
        <is>
          <t>Lei 9.249/1995, arts. 15 e 20</t>
        </is>
      </c>
    </row>
    <row r="971">
      <c r="A971" s="5" t="inlineStr">
        <is>
          <t>AU1-LP</t>
        </is>
      </c>
      <c r="B971" s="6" t="inlineStr">
        <is>
          <t>4º tri - CSLL</t>
        </is>
      </c>
      <c r="C971" s="6" t="inlineStr">
        <is>
          <t>R$ 5.760,00 x 9%</t>
        </is>
      </c>
      <c r="D971" s="7" t="n">
        <v>518.4</v>
      </c>
      <c r="E971" s="6" t="inlineStr">
        <is>
          <t>Lei 7.689/1988, art. 3º</t>
        </is>
      </c>
    </row>
    <row r="972">
      <c r="A972" s="5" t="inlineStr">
        <is>
          <t>AU1-LP</t>
        </is>
      </c>
      <c r="B972" s="6" t="inlineStr">
        <is>
          <t>PIS cumulativo</t>
        </is>
      </c>
      <c r="C972" s="6" t="inlineStr">
        <is>
          <t>R$ 72.000,00 x 0,65%</t>
        </is>
      </c>
      <c r="D972" s="7" t="n">
        <v>468</v>
      </c>
      <c r="E972" s="6" t="inlineStr">
        <is>
          <t>Lei 9.715/1998</t>
        </is>
      </c>
    </row>
    <row r="973">
      <c r="A973" s="5" t="inlineStr">
        <is>
          <t>AU1-LP</t>
        </is>
      </c>
      <c r="B973" s="6" t="inlineStr">
        <is>
          <t>Cofins cumulativa</t>
        </is>
      </c>
      <c r="C973" s="6" t="inlineStr">
        <is>
          <t>R$ 72.000,00 x 3,00%</t>
        </is>
      </c>
      <c r="D973" s="7" t="n">
        <v>2160</v>
      </c>
      <c r="E973" s="6" t="inlineStr">
        <is>
          <t>Lei 9.718/1998</t>
        </is>
      </c>
    </row>
    <row r="974">
      <c r="A974" s="5" t="inlineStr">
        <is>
          <t>AU1-LP</t>
        </is>
      </c>
      <c r="B974" s="6" t="inlineStr">
        <is>
          <t>ISS</t>
        </is>
      </c>
      <c r="C974" s="6" t="inlineStr">
        <is>
          <t>R$ 72.000,00 x 5,00%</t>
        </is>
      </c>
      <c r="D974" s="7" t="n">
        <v>3600</v>
      </c>
      <c r="E974" s="6" t="inlineStr">
        <is>
          <t>LC 116/2003 e lei municipal</t>
        </is>
      </c>
    </row>
    <row r="975">
      <c r="A975" s="5" t="inlineStr">
        <is>
          <t>AU1-LP</t>
        </is>
      </c>
      <c r="B975" s="6" t="inlineStr">
        <is>
          <t>INSS patronal sobre a folha CLT</t>
        </is>
      </c>
      <c r="C975" s="6" t="inlineStr">
        <is>
          <t>R$ 0,00 x (20,00% CPP + 2,00% RAT + 5,80% terceiros)</t>
        </is>
      </c>
      <c r="D975" s="7" t="n">
        <v>0</v>
      </c>
      <c r="E975" s="6" t="inlineStr">
        <is>
          <t>Lei 8.212/1991, art. 22, I e II</t>
        </is>
      </c>
    </row>
    <row r="976">
      <c r="A976" s="5" t="inlineStr">
        <is>
          <t>AU1-LP</t>
        </is>
      </c>
      <c r="B976" s="6" t="inlineStr">
        <is>
          <t>INSS patronal sobre o pró-labore</t>
        </is>
      </c>
      <c r="C976" s="6" t="inlineStr">
        <is>
          <t>R$ 19.452,00 x 20,00%</t>
        </is>
      </c>
      <c r="D976" s="7" t="n">
        <v>3890.4</v>
      </c>
      <c r="E976" s="6" t="inlineStr">
        <is>
          <t>Lei 8.212/1991, art. 22, III</t>
        </is>
      </c>
    </row>
    <row r="977">
      <c r="A977" s="5" t="inlineStr">
        <is>
          <t>AU1-LP</t>
        </is>
      </c>
      <c r="B977" s="6" t="inlineStr">
        <is>
          <t>IRPJ mensal</t>
        </is>
      </c>
      <c r="C977" s="6" t="inlineStr">
        <is>
          <t>R$ 3.456,00 / 12</t>
        </is>
      </c>
      <c r="D977" s="7" t="n">
        <v>288</v>
      </c>
      <c r="E977" s="6" t="inlineStr"/>
    </row>
    <row r="978">
      <c r="A978" s="5" t="inlineStr">
        <is>
          <t>AU1-LP</t>
        </is>
      </c>
      <c r="B978" s="6" t="inlineStr">
        <is>
          <t>CSLL mensal</t>
        </is>
      </c>
      <c r="C978" s="6" t="inlineStr">
        <is>
          <t>R$ 2.073,60 / 12</t>
        </is>
      </c>
      <c r="D978" s="7" t="n">
        <v>172.8</v>
      </c>
      <c r="E978" s="6" t="inlineStr"/>
    </row>
    <row r="979">
      <c r="A979" s="5" t="inlineStr">
        <is>
          <t>AU1-LP</t>
        </is>
      </c>
      <c r="B979" s="6" t="inlineStr">
        <is>
          <t>PIS mensal</t>
        </is>
      </c>
      <c r="C979" s="6" t="inlineStr">
        <is>
          <t>R$ 468,00 / 12</t>
        </is>
      </c>
      <c r="D979" s="7" t="n">
        <v>39</v>
      </c>
      <c r="E979" s="6" t="inlineStr"/>
    </row>
    <row r="980">
      <c r="A980" s="5" t="inlineStr">
        <is>
          <t>AU1-LP</t>
        </is>
      </c>
      <c r="B980" s="6" t="inlineStr">
        <is>
          <t>Cofins mensal</t>
        </is>
      </c>
      <c r="C980" s="6" t="inlineStr">
        <is>
          <t>R$ 2.160,00 / 12</t>
        </is>
      </c>
      <c r="D980" s="7" t="n">
        <v>180</v>
      </c>
      <c r="E980" s="6" t="inlineStr"/>
    </row>
    <row r="981">
      <c r="A981" s="5" t="inlineStr">
        <is>
          <t>AU1-LP</t>
        </is>
      </c>
      <c r="B981" s="6" t="inlineStr">
        <is>
          <t>ISS mensal</t>
        </is>
      </c>
      <c r="C981" s="6" t="inlineStr">
        <is>
          <t>R$ 3.600,00 / 12</t>
        </is>
      </c>
      <c r="D981" s="7" t="n">
        <v>300</v>
      </c>
      <c r="E981" s="6" t="inlineStr"/>
    </row>
    <row r="982">
      <c r="A982" s="5" t="inlineStr">
        <is>
          <t>AU1-LP</t>
        </is>
      </c>
      <c r="B982" s="6" t="inlineStr">
        <is>
          <t>INSS patronal mensal</t>
        </is>
      </c>
      <c r="C982" s="6" t="inlineStr">
        <is>
          <t>R$ 3.890,40 / 12</t>
        </is>
      </c>
      <c r="D982" s="7" t="n">
        <v>324.2</v>
      </c>
      <c r="E982" s="6" t="inlineStr"/>
    </row>
    <row r="983">
      <c r="A983" s="5" t="inlineStr">
        <is>
          <t>AU1-LP</t>
        </is>
      </c>
      <c r="B983" s="6" t="inlineStr">
        <is>
          <t>INSS do sócio</t>
        </is>
      </c>
      <c r="C983" s="6" t="inlineStr">
        <is>
          <t>R$ 1.621,00 x 11%</t>
        </is>
      </c>
      <c r="D983" s="7" t="n">
        <v>178.31</v>
      </c>
      <c r="E983" s="6" t="inlineStr">
        <is>
          <t>Lei 8.212/1991, art. 21</t>
        </is>
      </c>
    </row>
    <row r="984">
      <c r="A984" s="5" t="inlineStr">
        <is>
          <t>AU2-PF</t>
        </is>
      </c>
      <c r="B984" s="6" t="inlineStr">
        <is>
          <t>INSS contribuinte individual</t>
        </is>
      </c>
      <c r="C984" s="6" t="inlineStr">
        <is>
          <t>20% x mín(R$ 15.000,00; teto R$ 8.475,55)</t>
        </is>
      </c>
      <c r="D984" s="7" t="n">
        <v>1695.11</v>
      </c>
      <c r="E984" s="6" t="inlineStr">
        <is>
          <t>Lei 8.212/1991, art. 21</t>
        </is>
      </c>
    </row>
    <row r="985">
      <c r="A985" s="5" t="inlineStr">
        <is>
          <t>AU2-PF</t>
        </is>
      </c>
      <c r="B985" s="6" t="inlineStr">
        <is>
          <t>Dedução aplicada</t>
        </is>
      </c>
      <c r="C985" s="6" t="inlineStr">
        <is>
          <t>maior entre deduções legais R$ 2.695,11 e desconto simplificado R$ 607,20</t>
        </is>
      </c>
      <c r="D985" s="7" t="n">
        <v>2695.11</v>
      </c>
      <c r="E985" s="6" t="inlineStr">
        <is>
          <t>Lei 9.250/1995, art. 4º; Lei 15.191/2025</t>
        </is>
      </c>
    </row>
    <row r="986">
      <c r="A986" s="5" t="inlineStr">
        <is>
          <t>AU2-PF</t>
        </is>
      </c>
      <c r="B986" s="6" t="inlineStr">
        <is>
          <t>Base de cálculo</t>
        </is>
      </c>
      <c r="C986" s="6" t="inlineStr">
        <is>
          <t>R$ 15.000,00 - R$ 2.695,11</t>
        </is>
      </c>
      <c r="D986" s="7" t="n">
        <v>12304.89</v>
      </c>
      <c r="E986" s="6" t="inlineStr"/>
    </row>
    <row r="987">
      <c r="A987" s="5" t="inlineStr">
        <is>
          <t>AU2-PF</t>
        </is>
      </c>
      <c r="B987" s="6" t="inlineStr">
        <is>
          <t>Imposto pela tabela progressiva</t>
        </is>
      </c>
      <c r="C987" s="6" t="inlineStr">
        <is>
          <t>R$ 12.304,89 x 27,5% - R$ 908,73</t>
        </is>
      </c>
      <c r="D987" s="7" t="n">
        <v>2475.11475</v>
      </c>
      <c r="E987" s="6" t="inlineStr">
        <is>
          <t>Lei 15.191/2025 (tabela) + Lei 15.270/2025 (redução)</t>
        </is>
      </c>
    </row>
    <row r="988">
      <c r="A988" s="5" t="inlineStr">
        <is>
          <t>AU2-PF</t>
        </is>
      </c>
      <c r="B988" s="6" t="inlineStr">
        <is>
          <t>Redução Lei 15.270/2025</t>
        </is>
      </c>
      <c r="C988" s="6" t="inlineStr">
        <is>
          <t>rendimentos acima de R$ 7.350,00: sem redução</t>
        </is>
      </c>
      <c r="D988" s="7" t="n">
        <v>0</v>
      </c>
      <c r="E988" s="6" t="inlineStr">
        <is>
          <t>Lei 15.270/2025</t>
        </is>
      </c>
    </row>
    <row r="989">
      <c r="A989" s="5" t="inlineStr">
        <is>
          <t>AU2-SN</t>
        </is>
      </c>
      <c r="B989" s="6" t="inlineStr">
        <is>
          <t>Fator R (folha 12 meses / RBT12)</t>
        </is>
      </c>
      <c r="C989" s="6" t="inlineStr">
        <is>
          <t>R$ 50.400,12 (salários + pró-labore + FGTS 8%) / R$ 180.000,00 = 28,00% -&gt; Anexo III</t>
        </is>
      </c>
      <c r="D989" s="19" t="n">
        <v>0.2800006666666667</v>
      </c>
      <c r="E989" s="6" t="inlineStr">
        <is>
          <t>LC 123/2006, art. 18, §5º-J, §5º-M e §24</t>
        </is>
      </c>
    </row>
    <row r="990">
      <c r="A990" s="5" t="inlineStr">
        <is>
          <t>AU2-SN</t>
        </is>
      </c>
      <c r="B990" s="6" t="inlineStr">
        <is>
          <t>Alíquota efetiva - Anexo III, 1ª faixa</t>
        </is>
      </c>
      <c r="C990" s="6" t="inlineStr">
        <is>
          <t>(R$ 180.000,00 x 6,00% - R$ 0,00) / R$ 180.000,00 = 6,0000%</t>
        </is>
      </c>
      <c r="D990" s="19" t="n">
        <v>0.06</v>
      </c>
      <c r="E990" s="6" t="inlineStr">
        <is>
          <t>LC 123/2006, art. 18, §1º e §1º-A</t>
        </is>
      </c>
    </row>
    <row r="991">
      <c r="A991" s="5" t="inlineStr">
        <is>
          <t>AU2-SN</t>
        </is>
      </c>
      <c r="B991" s="6" t="inlineStr">
        <is>
          <t>DAS anual</t>
        </is>
      </c>
      <c r="C991" s="6" t="inlineStr">
        <is>
          <t>R$ 180.000,00 x 6,0000%</t>
        </is>
      </c>
      <c r="D991" s="7" t="n">
        <v>10800</v>
      </c>
      <c r="E991" s="6" t="inlineStr">
        <is>
          <t>LC 123/2006, art. 13</t>
        </is>
      </c>
    </row>
    <row r="992">
      <c r="A992" s="5" t="inlineStr">
        <is>
          <t>AU2-SN</t>
        </is>
      </c>
      <c r="B992" s="6" t="inlineStr">
        <is>
          <t>DAS mensal</t>
        </is>
      </c>
      <c r="C992" s="6" t="inlineStr">
        <is>
          <t>R$ 10.800,00 / 12</t>
        </is>
      </c>
      <c r="D992" s="7" t="n">
        <v>900</v>
      </c>
      <c r="E992" s="6" t="inlineStr"/>
    </row>
    <row r="993">
      <c r="A993" s="5" t="inlineStr">
        <is>
          <t>AU2-SN</t>
        </is>
      </c>
      <c r="B993" s="6" t="inlineStr">
        <is>
          <t>INSS do sócio</t>
        </is>
      </c>
      <c r="C993" s="6" t="inlineStr">
        <is>
          <t>R$ 4.200,01 x 11%</t>
        </is>
      </c>
      <c r="D993" s="7" t="n">
        <v>462</v>
      </c>
      <c r="E993" s="6" t="inlineStr">
        <is>
          <t>Lei 8.212/1991, art. 21</t>
        </is>
      </c>
    </row>
    <row r="994">
      <c r="A994" s="5" t="inlineStr">
        <is>
          <t>AU2-LP</t>
        </is>
      </c>
      <c r="B994" s="6" t="inlineStr">
        <is>
          <t>Percentuais de presunção</t>
        </is>
      </c>
      <c r="C994" s="6" t="inlineStr">
        <is>
          <t>Prestação de serviços em geral: IRPJ 32,0%, CSLL 32,0%</t>
        </is>
      </c>
      <c r="D994" s="19" t="n">
        <v>0.32</v>
      </c>
      <c r="E994" s="6" t="inlineStr">
        <is>
          <t>Lei 9.249/1995, art. 15, §1º e art. 20</t>
        </is>
      </c>
    </row>
    <row r="995">
      <c r="A995" s="5" t="inlineStr">
        <is>
          <t>AU2-LP</t>
        </is>
      </c>
      <c r="B995" s="6" t="inlineStr">
        <is>
          <t>1º tri - base presumida IRPJ</t>
        </is>
      </c>
      <c r="C995" s="6" t="inlineStr">
        <is>
          <t>R$ 45.000,00 x 32,0%</t>
        </is>
      </c>
      <c r="D995" s="7" t="n">
        <v>14400</v>
      </c>
      <c r="E995" s="6" t="inlineStr">
        <is>
          <t>Lei 9.249/1995, arts. 15 e 20</t>
        </is>
      </c>
    </row>
    <row r="996">
      <c r="A996" s="5" t="inlineStr">
        <is>
          <t>AU2-LP</t>
        </is>
      </c>
      <c r="B996" s="6" t="inlineStr">
        <is>
          <t>1º tri - IRPJ</t>
        </is>
      </c>
      <c r="C996" s="6" t="inlineStr">
        <is>
          <t>R$ 14.400,00 x 15% + adicional 10% sobre o que exceder R$ 60.000,00</t>
        </is>
      </c>
      <c r="D996" s="7" t="n">
        <v>2160</v>
      </c>
      <c r="E996" s="6" t="inlineStr">
        <is>
          <t>Lei 9.430/1996, arts. 3º e 4º</t>
        </is>
      </c>
    </row>
    <row r="997">
      <c r="A997" s="5" t="inlineStr">
        <is>
          <t>AU2-LP</t>
        </is>
      </c>
      <c r="B997" s="6" t="inlineStr">
        <is>
          <t>1º tri - base presumida CSLL</t>
        </is>
      </c>
      <c r="C997" s="6" t="inlineStr">
        <is>
          <t>R$ 45.000,00 x 32,0%</t>
        </is>
      </c>
      <c r="D997" s="7" t="n">
        <v>14400</v>
      </c>
      <c r="E997" s="6" t="inlineStr">
        <is>
          <t>Lei 9.249/1995, arts. 15 e 20</t>
        </is>
      </c>
    </row>
    <row r="998">
      <c r="A998" s="5" t="inlineStr">
        <is>
          <t>AU2-LP</t>
        </is>
      </c>
      <c r="B998" s="6" t="inlineStr">
        <is>
          <t>1º tri - CSLL</t>
        </is>
      </c>
      <c r="C998" s="6" t="inlineStr">
        <is>
          <t>R$ 14.400,00 x 9%</t>
        </is>
      </c>
      <c r="D998" s="7" t="n">
        <v>1296</v>
      </c>
      <c r="E998" s="6" t="inlineStr">
        <is>
          <t>Lei 7.689/1988, art. 3º</t>
        </is>
      </c>
    </row>
    <row r="999">
      <c r="A999" s="5" t="inlineStr">
        <is>
          <t>AU2-LP</t>
        </is>
      </c>
      <c r="B999" s="6" t="inlineStr">
        <is>
          <t>2º tri - base presumida IRPJ</t>
        </is>
      </c>
      <c r="C999" s="6" t="inlineStr">
        <is>
          <t>R$ 45.000,00 x 32,0%</t>
        </is>
      </c>
      <c r="D999" s="7" t="n">
        <v>14400</v>
      </c>
      <c r="E999" s="6" t="inlineStr">
        <is>
          <t>Lei 9.249/1995, arts. 15 e 20</t>
        </is>
      </c>
    </row>
    <row r="1000">
      <c r="A1000" s="5" t="inlineStr">
        <is>
          <t>AU2-LP</t>
        </is>
      </c>
      <c r="B1000" s="6" t="inlineStr">
        <is>
          <t>2º tri - IRPJ</t>
        </is>
      </c>
      <c r="C1000" s="6" t="inlineStr">
        <is>
          <t>R$ 14.400,00 x 15% + adicional 10% sobre o que exceder R$ 60.000,00</t>
        </is>
      </c>
      <c r="D1000" s="7" t="n">
        <v>2160</v>
      </c>
      <c r="E1000" s="6" t="inlineStr">
        <is>
          <t>Lei 9.430/1996, arts. 3º e 4º</t>
        </is>
      </c>
    </row>
    <row r="1001">
      <c r="A1001" s="5" t="inlineStr">
        <is>
          <t>AU2-LP</t>
        </is>
      </c>
      <c r="B1001" s="6" t="inlineStr">
        <is>
          <t>2º tri - base presumida CSLL</t>
        </is>
      </c>
      <c r="C1001" s="6" t="inlineStr">
        <is>
          <t>R$ 45.000,00 x 32,0%</t>
        </is>
      </c>
      <c r="D1001" s="7" t="n">
        <v>14400</v>
      </c>
      <c r="E1001" s="6" t="inlineStr">
        <is>
          <t>Lei 9.249/1995, arts. 15 e 20</t>
        </is>
      </c>
    </row>
    <row r="1002">
      <c r="A1002" s="5" t="inlineStr">
        <is>
          <t>AU2-LP</t>
        </is>
      </c>
      <c r="B1002" s="6" t="inlineStr">
        <is>
          <t>2º tri - CSLL</t>
        </is>
      </c>
      <c r="C1002" s="6" t="inlineStr">
        <is>
          <t>R$ 14.400,00 x 9%</t>
        </is>
      </c>
      <c r="D1002" s="7" t="n">
        <v>1296</v>
      </c>
      <c r="E1002" s="6" t="inlineStr">
        <is>
          <t>Lei 7.689/1988, art. 3º</t>
        </is>
      </c>
    </row>
    <row r="1003">
      <c r="A1003" s="5" t="inlineStr">
        <is>
          <t>AU2-LP</t>
        </is>
      </c>
      <c r="B1003" s="6" t="inlineStr">
        <is>
          <t>3º tri - base presumida IRPJ</t>
        </is>
      </c>
      <c r="C1003" s="6" t="inlineStr">
        <is>
          <t>R$ 45.000,00 x 32,0%</t>
        </is>
      </c>
      <c r="D1003" s="7" t="n">
        <v>14400</v>
      </c>
      <c r="E1003" s="6" t="inlineStr">
        <is>
          <t>Lei 9.249/1995, arts. 15 e 20</t>
        </is>
      </c>
    </row>
    <row r="1004">
      <c r="A1004" s="5" t="inlineStr">
        <is>
          <t>AU2-LP</t>
        </is>
      </c>
      <c r="B1004" s="6" t="inlineStr">
        <is>
          <t>3º tri - IRPJ</t>
        </is>
      </c>
      <c r="C1004" s="6" t="inlineStr">
        <is>
          <t>R$ 14.400,00 x 15% + adicional 10% sobre o que exceder R$ 60.000,00</t>
        </is>
      </c>
      <c r="D1004" s="7" t="n">
        <v>2160</v>
      </c>
      <c r="E1004" s="6" t="inlineStr">
        <is>
          <t>Lei 9.430/1996, arts. 3º e 4º</t>
        </is>
      </c>
    </row>
    <row r="1005">
      <c r="A1005" s="5" t="inlineStr">
        <is>
          <t>AU2-LP</t>
        </is>
      </c>
      <c r="B1005" s="6" t="inlineStr">
        <is>
          <t>3º tri - base presumida CSLL</t>
        </is>
      </c>
      <c r="C1005" s="6" t="inlineStr">
        <is>
          <t>R$ 45.000,00 x 32,0%</t>
        </is>
      </c>
      <c r="D1005" s="7" t="n">
        <v>14400</v>
      </c>
      <c r="E1005" s="6" t="inlineStr">
        <is>
          <t>Lei 9.249/1995, arts. 15 e 20</t>
        </is>
      </c>
    </row>
    <row r="1006">
      <c r="A1006" s="5" t="inlineStr">
        <is>
          <t>AU2-LP</t>
        </is>
      </c>
      <c r="B1006" s="6" t="inlineStr">
        <is>
          <t>3º tri - CSLL</t>
        </is>
      </c>
      <c r="C1006" s="6" t="inlineStr">
        <is>
          <t>R$ 14.400,00 x 9%</t>
        </is>
      </c>
      <c r="D1006" s="7" t="n">
        <v>1296</v>
      </c>
      <c r="E1006" s="6" t="inlineStr">
        <is>
          <t>Lei 7.689/1988, art. 3º</t>
        </is>
      </c>
    </row>
    <row r="1007">
      <c r="A1007" s="5" t="inlineStr">
        <is>
          <t>AU2-LP</t>
        </is>
      </c>
      <c r="B1007" s="6" t="inlineStr">
        <is>
          <t>4º tri - base presumida IRPJ</t>
        </is>
      </c>
      <c r="C1007" s="6" t="inlineStr">
        <is>
          <t>R$ 45.000,00 x 32,0%</t>
        </is>
      </c>
      <c r="D1007" s="7" t="n">
        <v>14400</v>
      </c>
      <c r="E1007" s="6" t="inlineStr">
        <is>
          <t>Lei 9.249/1995, arts. 15 e 20</t>
        </is>
      </c>
    </row>
    <row r="1008">
      <c r="A1008" s="5" t="inlineStr">
        <is>
          <t>AU2-LP</t>
        </is>
      </c>
      <c r="B1008" s="6" t="inlineStr">
        <is>
          <t>4º tri - IRPJ</t>
        </is>
      </c>
      <c r="C1008" s="6" t="inlineStr">
        <is>
          <t>R$ 14.400,00 x 15% + adicional 10% sobre o que exceder R$ 60.000,00</t>
        </is>
      </c>
      <c r="D1008" s="7" t="n">
        <v>2160</v>
      </c>
      <c r="E1008" s="6" t="inlineStr">
        <is>
          <t>Lei 9.430/1996, arts. 3º e 4º</t>
        </is>
      </c>
    </row>
    <row r="1009">
      <c r="A1009" s="5" t="inlineStr">
        <is>
          <t>AU2-LP</t>
        </is>
      </c>
      <c r="B1009" s="6" t="inlineStr">
        <is>
          <t>4º tri - base presumida CSLL</t>
        </is>
      </c>
      <c r="C1009" s="6" t="inlineStr">
        <is>
          <t>R$ 45.000,00 x 32,0%</t>
        </is>
      </c>
      <c r="D1009" s="7" t="n">
        <v>14400</v>
      </c>
      <c r="E1009" s="6" t="inlineStr">
        <is>
          <t>Lei 9.249/1995, arts. 15 e 20</t>
        </is>
      </c>
    </row>
    <row r="1010">
      <c r="A1010" s="5" t="inlineStr">
        <is>
          <t>AU2-LP</t>
        </is>
      </c>
      <c r="B1010" s="6" t="inlineStr">
        <is>
          <t>4º tri - CSLL</t>
        </is>
      </c>
      <c r="C1010" s="6" t="inlineStr">
        <is>
          <t>R$ 14.400,00 x 9%</t>
        </is>
      </c>
      <c r="D1010" s="7" t="n">
        <v>1296</v>
      </c>
      <c r="E1010" s="6" t="inlineStr">
        <is>
          <t>Lei 7.689/1988, art. 3º</t>
        </is>
      </c>
    </row>
    <row r="1011">
      <c r="A1011" s="5" t="inlineStr">
        <is>
          <t>AU2-LP</t>
        </is>
      </c>
      <c r="B1011" s="6" t="inlineStr">
        <is>
          <t>PIS cumulativo</t>
        </is>
      </c>
      <c r="C1011" s="6" t="inlineStr">
        <is>
          <t>R$ 180.000,00 x 0,65%</t>
        </is>
      </c>
      <c r="D1011" s="7" t="n">
        <v>1170</v>
      </c>
      <c r="E1011" s="6" t="inlineStr">
        <is>
          <t>Lei 9.715/1998</t>
        </is>
      </c>
    </row>
    <row r="1012">
      <c r="A1012" s="5" t="inlineStr">
        <is>
          <t>AU2-LP</t>
        </is>
      </c>
      <c r="B1012" s="6" t="inlineStr">
        <is>
          <t>Cofins cumulativa</t>
        </is>
      </c>
      <c r="C1012" s="6" t="inlineStr">
        <is>
          <t>R$ 180.000,00 x 3,00%</t>
        </is>
      </c>
      <c r="D1012" s="7" t="n">
        <v>5400</v>
      </c>
      <c r="E1012" s="6" t="inlineStr">
        <is>
          <t>Lei 9.718/1998</t>
        </is>
      </c>
    </row>
    <row r="1013">
      <c r="A1013" s="5" t="inlineStr">
        <is>
          <t>AU2-LP</t>
        </is>
      </c>
      <c r="B1013" s="6" t="inlineStr">
        <is>
          <t>ISS</t>
        </is>
      </c>
      <c r="C1013" s="6" t="inlineStr">
        <is>
          <t>R$ 180.000,00 x 5,00%</t>
        </is>
      </c>
      <c r="D1013" s="7" t="n">
        <v>9000</v>
      </c>
      <c r="E1013" s="6" t="inlineStr">
        <is>
          <t>LC 116/2003 e lei municipal</t>
        </is>
      </c>
    </row>
    <row r="1014">
      <c r="A1014" s="5" t="inlineStr">
        <is>
          <t>AU2-LP</t>
        </is>
      </c>
      <c r="B1014" s="6" t="inlineStr">
        <is>
          <t>INSS patronal sobre a folha CLT</t>
        </is>
      </c>
      <c r="C1014" s="6" t="inlineStr">
        <is>
          <t>R$ 0,00 x (20,00% CPP + 2,00% RAT + 5,80% terceiros)</t>
        </is>
      </c>
      <c r="D1014" s="7" t="n">
        <v>0</v>
      </c>
      <c r="E1014" s="6" t="inlineStr">
        <is>
          <t>Lei 8.212/1991, art. 22, I e II</t>
        </is>
      </c>
    </row>
    <row r="1015">
      <c r="A1015" s="5" t="inlineStr">
        <is>
          <t>AU2-LP</t>
        </is>
      </c>
      <c r="B1015" s="6" t="inlineStr">
        <is>
          <t>INSS patronal sobre o pró-labore</t>
        </is>
      </c>
      <c r="C1015" s="6" t="inlineStr">
        <is>
          <t>R$ 19.452,00 x 20,00%</t>
        </is>
      </c>
      <c r="D1015" s="7" t="n">
        <v>3890.4</v>
      </c>
      <c r="E1015" s="6" t="inlineStr">
        <is>
          <t>Lei 8.212/1991, art. 22, III</t>
        </is>
      </c>
    </row>
    <row r="1016">
      <c r="A1016" s="5" t="inlineStr">
        <is>
          <t>AU2-LP</t>
        </is>
      </c>
      <c r="B1016" s="6" t="inlineStr">
        <is>
          <t>IRPJ mensal</t>
        </is>
      </c>
      <c r="C1016" s="6" t="inlineStr">
        <is>
          <t>R$ 8.640,00 / 12</t>
        </is>
      </c>
      <c r="D1016" s="7" t="n">
        <v>720</v>
      </c>
      <c r="E1016" s="6" t="inlineStr"/>
    </row>
    <row r="1017">
      <c r="A1017" s="5" t="inlineStr">
        <is>
          <t>AU2-LP</t>
        </is>
      </c>
      <c r="B1017" s="6" t="inlineStr">
        <is>
          <t>CSLL mensal</t>
        </is>
      </c>
      <c r="C1017" s="6" t="inlineStr">
        <is>
          <t>R$ 5.184,00 / 12</t>
        </is>
      </c>
      <c r="D1017" s="7" t="n">
        <v>432</v>
      </c>
      <c r="E1017" s="6" t="inlineStr"/>
    </row>
    <row r="1018">
      <c r="A1018" s="5" t="inlineStr">
        <is>
          <t>AU2-LP</t>
        </is>
      </c>
      <c r="B1018" s="6" t="inlineStr">
        <is>
          <t>PIS mensal</t>
        </is>
      </c>
      <c r="C1018" s="6" t="inlineStr">
        <is>
          <t>R$ 1.170,00 / 12</t>
        </is>
      </c>
      <c r="D1018" s="7" t="n">
        <v>97.5</v>
      </c>
      <c r="E1018" s="6" t="inlineStr"/>
    </row>
    <row r="1019">
      <c r="A1019" s="5" t="inlineStr">
        <is>
          <t>AU2-LP</t>
        </is>
      </c>
      <c r="B1019" s="6" t="inlineStr">
        <is>
          <t>Cofins mensal</t>
        </is>
      </c>
      <c r="C1019" s="6" t="inlineStr">
        <is>
          <t>R$ 5.400,00 / 12</t>
        </is>
      </c>
      <c r="D1019" s="7" t="n">
        <v>450</v>
      </c>
      <c r="E1019" s="6" t="inlineStr"/>
    </row>
    <row r="1020">
      <c r="A1020" s="5" t="inlineStr">
        <is>
          <t>AU2-LP</t>
        </is>
      </c>
      <c r="B1020" s="6" t="inlineStr">
        <is>
          <t>ISS mensal</t>
        </is>
      </c>
      <c r="C1020" s="6" t="inlineStr">
        <is>
          <t>R$ 9.000,00 / 12</t>
        </is>
      </c>
      <c r="D1020" s="7" t="n">
        <v>750</v>
      </c>
      <c r="E1020" s="6" t="inlineStr"/>
    </row>
    <row r="1021">
      <c r="A1021" s="5" t="inlineStr">
        <is>
          <t>AU2-LP</t>
        </is>
      </c>
      <c r="B1021" s="6" t="inlineStr">
        <is>
          <t>INSS patronal mensal</t>
        </is>
      </c>
      <c r="C1021" s="6" t="inlineStr">
        <is>
          <t>R$ 3.890,40 / 12</t>
        </is>
      </c>
      <c r="D1021" s="7" t="n">
        <v>324.2</v>
      </c>
      <c r="E1021" s="6" t="inlineStr"/>
    </row>
    <row r="1022">
      <c r="A1022" s="5" t="inlineStr">
        <is>
          <t>AU2-LP</t>
        </is>
      </c>
      <c r="B1022" s="6" t="inlineStr">
        <is>
          <t>INSS do sócio</t>
        </is>
      </c>
      <c r="C1022" s="6" t="inlineStr">
        <is>
          <t>R$ 1.621,00 x 11%</t>
        </is>
      </c>
      <c r="D1022" s="7" t="n">
        <v>178.31</v>
      </c>
      <c r="E1022" s="6" t="inlineStr">
        <is>
          <t>Lei 8.212/1991, art. 21</t>
        </is>
      </c>
    </row>
    <row r="1023">
      <c r="A1023" s="5" t="inlineStr">
        <is>
          <t>AU3-PF</t>
        </is>
      </c>
      <c r="B1023" s="6" t="inlineStr">
        <is>
          <t>INSS contribuinte individual</t>
        </is>
      </c>
      <c r="C1023" s="6" t="inlineStr">
        <is>
          <t>20% x mín(R$ 40.000,00; teto R$ 8.475,55)</t>
        </is>
      </c>
      <c r="D1023" s="7" t="n">
        <v>1695.11</v>
      </c>
      <c r="E1023" s="6" t="inlineStr">
        <is>
          <t>Lei 8.212/1991, art. 21</t>
        </is>
      </c>
    </row>
    <row r="1024">
      <c r="A1024" s="5" t="inlineStr">
        <is>
          <t>AU3-PF</t>
        </is>
      </c>
      <c r="B1024" s="6" t="inlineStr">
        <is>
          <t>Dedução aplicada</t>
        </is>
      </c>
      <c r="C1024" s="6" t="inlineStr">
        <is>
          <t>maior entre deduções legais R$ 1.884,70 e desconto simplificado R$ 607,20</t>
        </is>
      </c>
      <c r="D1024" s="7" t="n">
        <v>1884.7</v>
      </c>
      <c r="E1024" s="6" t="inlineStr">
        <is>
          <t>Lei 9.250/1995, art. 4º; Lei 15.191/2025</t>
        </is>
      </c>
    </row>
    <row r="1025">
      <c r="A1025" s="5" t="inlineStr">
        <is>
          <t>AU3-PF</t>
        </is>
      </c>
      <c r="B1025" s="6" t="inlineStr">
        <is>
          <t>Base de cálculo</t>
        </is>
      </c>
      <c r="C1025" s="6" t="inlineStr">
        <is>
          <t>R$ 40.000,00 - R$ 1.884,70</t>
        </is>
      </c>
      <c r="D1025" s="7" t="n">
        <v>38115.3</v>
      </c>
      <c r="E1025" s="6" t="inlineStr"/>
    </row>
    <row r="1026">
      <c r="A1026" s="5" t="inlineStr">
        <is>
          <t>AU3-PF</t>
        </is>
      </c>
      <c r="B1026" s="6" t="inlineStr">
        <is>
          <t>Imposto pela tabela progressiva</t>
        </is>
      </c>
      <c r="C1026" s="6" t="inlineStr">
        <is>
          <t>R$ 38.115,30 x 27,5% - R$ 908,73</t>
        </is>
      </c>
      <c r="D1026" s="7" t="n">
        <v>9572.977500000001</v>
      </c>
      <c r="E1026" s="6" t="inlineStr">
        <is>
          <t>Lei 15.191/2025 (tabela) + Lei 15.270/2025 (redução)</t>
        </is>
      </c>
    </row>
    <row r="1027">
      <c r="A1027" s="5" t="inlineStr">
        <is>
          <t>AU3-PF</t>
        </is>
      </c>
      <c r="B1027" s="6" t="inlineStr">
        <is>
          <t>Redução Lei 15.270/2025</t>
        </is>
      </c>
      <c r="C1027" s="6" t="inlineStr">
        <is>
          <t>rendimentos acima de R$ 7.350,00: sem redução</t>
        </is>
      </c>
      <c r="D1027" s="7" t="n">
        <v>0</v>
      </c>
      <c r="E1027" s="6" t="inlineStr">
        <is>
          <t>Lei 15.270/2025</t>
        </is>
      </c>
    </row>
    <row r="1028">
      <c r="A1028" s="5" t="inlineStr">
        <is>
          <t>AU3-SN</t>
        </is>
      </c>
      <c r="B1028" s="6" t="inlineStr">
        <is>
          <t>Fator R (folha 12 meses / RBT12)</t>
        </is>
      </c>
      <c r="C1028" s="6" t="inlineStr">
        <is>
          <t>R$ 134.400,12 (salários + pró-labore + FGTS 8%) / R$ 480.000,00 = 28,00% -&gt; Anexo III</t>
        </is>
      </c>
      <c r="D1028" s="19" t="n">
        <v>0.28000025</v>
      </c>
      <c r="E1028" s="6" t="inlineStr">
        <is>
          <t>LC 123/2006, art. 18, §5º-J, §5º-M e §24</t>
        </is>
      </c>
    </row>
    <row r="1029">
      <c r="A1029" s="5" t="inlineStr">
        <is>
          <t>AU3-SN</t>
        </is>
      </c>
      <c r="B1029" s="6" t="inlineStr">
        <is>
          <t>Alíquota efetiva - Anexo III, 3ª faixa</t>
        </is>
      </c>
      <c r="C1029" s="6" t="inlineStr">
        <is>
          <t>(R$ 480.000,00 x 13,50% - R$ 17.640,00) / R$ 480.000,00 = 9,8250%</t>
        </is>
      </c>
      <c r="D1029" s="19" t="n">
        <v>0.09825</v>
      </c>
      <c r="E1029" s="6" t="inlineStr">
        <is>
          <t>LC 123/2006, art. 18, §1º e §1º-A</t>
        </is>
      </c>
    </row>
    <row r="1030">
      <c r="A1030" s="5" t="inlineStr">
        <is>
          <t>AU3-SN</t>
        </is>
      </c>
      <c r="B1030" s="6" t="inlineStr">
        <is>
          <t>DAS anual</t>
        </is>
      </c>
      <c r="C1030" s="6" t="inlineStr">
        <is>
          <t>R$ 480.000,00 x 9,8250%</t>
        </is>
      </c>
      <c r="D1030" s="7" t="n">
        <v>47160</v>
      </c>
      <c r="E1030" s="6" t="inlineStr">
        <is>
          <t>LC 123/2006, art. 13</t>
        </is>
      </c>
    </row>
    <row r="1031">
      <c r="A1031" s="5" t="inlineStr">
        <is>
          <t>AU3-SN</t>
        </is>
      </c>
      <c r="B1031" s="6" t="inlineStr">
        <is>
          <t>DAS mensal</t>
        </is>
      </c>
      <c r="C1031" s="6" t="inlineStr">
        <is>
          <t>R$ 47.160,00 / 12</t>
        </is>
      </c>
      <c r="D1031" s="7" t="n">
        <v>3930</v>
      </c>
      <c r="E1031" s="6" t="inlineStr"/>
    </row>
    <row r="1032">
      <c r="A1032" s="5" t="inlineStr">
        <is>
          <t>AU3-SN</t>
        </is>
      </c>
      <c r="B1032" s="6" t="inlineStr">
        <is>
          <t>INSS do sócio</t>
        </is>
      </c>
      <c r="C1032" s="6" t="inlineStr">
        <is>
          <t>R$ 11.200,01 x 11%</t>
        </is>
      </c>
      <c r="D1032" s="7" t="n">
        <v>932.3099999999999</v>
      </c>
      <c r="E1032" s="6" t="inlineStr">
        <is>
          <t>Lei 8.212/1991, art. 21</t>
        </is>
      </c>
    </row>
    <row r="1033">
      <c r="A1033" s="5" t="inlineStr">
        <is>
          <t>AU3-LP</t>
        </is>
      </c>
      <c r="B1033" s="6" t="inlineStr">
        <is>
          <t>Percentuais de presunção</t>
        </is>
      </c>
      <c r="C1033" s="6" t="inlineStr">
        <is>
          <t>Prestação de serviços em geral: IRPJ 32,0%, CSLL 32,0%</t>
        </is>
      </c>
      <c r="D1033" s="19" t="n">
        <v>0.32</v>
      </c>
      <c r="E1033" s="6" t="inlineStr">
        <is>
          <t>Lei 9.249/1995, art. 15, §1º e art. 20</t>
        </is>
      </c>
    </row>
    <row r="1034">
      <c r="A1034" s="5" t="inlineStr">
        <is>
          <t>AU3-LP</t>
        </is>
      </c>
      <c r="B1034" s="6" t="inlineStr">
        <is>
          <t>1º tri - base presumida IRPJ</t>
        </is>
      </c>
      <c r="C1034" s="6" t="inlineStr">
        <is>
          <t>R$ 120.000,00 x 32,0%</t>
        </is>
      </c>
      <c r="D1034" s="7" t="n">
        <v>38400</v>
      </c>
      <c r="E1034" s="6" t="inlineStr">
        <is>
          <t>Lei 9.249/1995, arts. 15 e 20</t>
        </is>
      </c>
    </row>
    <row r="1035">
      <c r="A1035" s="5" t="inlineStr">
        <is>
          <t>AU3-LP</t>
        </is>
      </c>
      <c r="B1035" s="6" t="inlineStr">
        <is>
          <t>1º tri - IRPJ</t>
        </is>
      </c>
      <c r="C1035" s="6" t="inlineStr">
        <is>
          <t>R$ 38.400,00 x 15% + adicional 10% sobre o que exceder R$ 60.000,00</t>
        </is>
      </c>
      <c r="D1035" s="7" t="n">
        <v>5760</v>
      </c>
      <c r="E1035" s="6" t="inlineStr">
        <is>
          <t>Lei 9.430/1996, arts. 3º e 4º</t>
        </is>
      </c>
    </row>
    <row r="1036">
      <c r="A1036" s="5" t="inlineStr">
        <is>
          <t>AU3-LP</t>
        </is>
      </c>
      <c r="B1036" s="6" t="inlineStr">
        <is>
          <t>1º tri - base presumida CSLL</t>
        </is>
      </c>
      <c r="C1036" s="6" t="inlineStr">
        <is>
          <t>R$ 120.000,00 x 32,0%</t>
        </is>
      </c>
      <c r="D1036" s="7" t="n">
        <v>38400</v>
      </c>
      <c r="E1036" s="6" t="inlineStr">
        <is>
          <t>Lei 9.249/1995, arts. 15 e 20</t>
        </is>
      </c>
    </row>
    <row r="1037">
      <c r="A1037" s="5" t="inlineStr">
        <is>
          <t>AU3-LP</t>
        </is>
      </c>
      <c r="B1037" s="6" t="inlineStr">
        <is>
          <t>1º tri - CSLL</t>
        </is>
      </c>
      <c r="C1037" s="6" t="inlineStr">
        <is>
          <t>R$ 38.400,00 x 9%</t>
        </is>
      </c>
      <c r="D1037" s="7" t="n">
        <v>3456</v>
      </c>
      <c r="E1037" s="6" t="inlineStr">
        <is>
          <t>Lei 7.689/1988, art. 3º</t>
        </is>
      </c>
    </row>
    <row r="1038">
      <c r="A1038" s="5" t="inlineStr">
        <is>
          <t>AU3-LP</t>
        </is>
      </c>
      <c r="B1038" s="6" t="inlineStr">
        <is>
          <t>2º tri - base presumida IRPJ</t>
        </is>
      </c>
      <c r="C1038" s="6" t="inlineStr">
        <is>
          <t>R$ 120.000,00 x 32,0%</t>
        </is>
      </c>
      <c r="D1038" s="7" t="n">
        <v>38400</v>
      </c>
      <c r="E1038" s="6" t="inlineStr">
        <is>
          <t>Lei 9.249/1995, arts. 15 e 20</t>
        </is>
      </c>
    </row>
    <row r="1039">
      <c r="A1039" s="5" t="inlineStr">
        <is>
          <t>AU3-LP</t>
        </is>
      </c>
      <c r="B1039" s="6" t="inlineStr">
        <is>
          <t>2º tri - IRPJ</t>
        </is>
      </c>
      <c r="C1039" s="6" t="inlineStr">
        <is>
          <t>R$ 38.400,00 x 15% + adicional 10% sobre o que exceder R$ 60.000,00</t>
        </is>
      </c>
      <c r="D1039" s="7" t="n">
        <v>5760</v>
      </c>
      <c r="E1039" s="6" t="inlineStr">
        <is>
          <t>Lei 9.430/1996, arts. 3º e 4º</t>
        </is>
      </c>
    </row>
    <row r="1040">
      <c r="A1040" s="5" t="inlineStr">
        <is>
          <t>AU3-LP</t>
        </is>
      </c>
      <c r="B1040" s="6" t="inlineStr">
        <is>
          <t>2º tri - base presumida CSLL</t>
        </is>
      </c>
      <c r="C1040" s="6" t="inlineStr">
        <is>
          <t>R$ 120.000,00 x 32,0%</t>
        </is>
      </c>
      <c r="D1040" s="7" t="n">
        <v>38400</v>
      </c>
      <c r="E1040" s="6" t="inlineStr">
        <is>
          <t>Lei 9.249/1995, arts. 15 e 20</t>
        </is>
      </c>
    </row>
    <row r="1041">
      <c r="A1041" s="5" t="inlineStr">
        <is>
          <t>AU3-LP</t>
        </is>
      </c>
      <c r="B1041" s="6" t="inlineStr">
        <is>
          <t>2º tri - CSLL</t>
        </is>
      </c>
      <c r="C1041" s="6" t="inlineStr">
        <is>
          <t>R$ 38.400,00 x 9%</t>
        </is>
      </c>
      <c r="D1041" s="7" t="n">
        <v>3456</v>
      </c>
      <c r="E1041" s="6" t="inlineStr">
        <is>
          <t>Lei 7.689/1988, art. 3º</t>
        </is>
      </c>
    </row>
    <row r="1042">
      <c r="A1042" s="5" t="inlineStr">
        <is>
          <t>AU3-LP</t>
        </is>
      </c>
      <c r="B1042" s="6" t="inlineStr">
        <is>
          <t>3º tri - base presumida IRPJ</t>
        </is>
      </c>
      <c r="C1042" s="6" t="inlineStr">
        <is>
          <t>R$ 120.000,00 x 32,0%</t>
        </is>
      </c>
      <c r="D1042" s="7" t="n">
        <v>38400</v>
      </c>
      <c r="E1042" s="6" t="inlineStr">
        <is>
          <t>Lei 9.249/1995, arts. 15 e 20</t>
        </is>
      </c>
    </row>
    <row r="1043">
      <c r="A1043" s="5" t="inlineStr">
        <is>
          <t>AU3-LP</t>
        </is>
      </c>
      <c r="B1043" s="6" t="inlineStr">
        <is>
          <t>3º tri - IRPJ</t>
        </is>
      </c>
      <c r="C1043" s="6" t="inlineStr">
        <is>
          <t>R$ 38.400,00 x 15% + adicional 10% sobre o que exceder R$ 60.000,00</t>
        </is>
      </c>
      <c r="D1043" s="7" t="n">
        <v>5760</v>
      </c>
      <c r="E1043" s="6" t="inlineStr">
        <is>
          <t>Lei 9.430/1996, arts. 3º e 4º</t>
        </is>
      </c>
    </row>
    <row r="1044">
      <c r="A1044" s="5" t="inlineStr">
        <is>
          <t>AU3-LP</t>
        </is>
      </c>
      <c r="B1044" s="6" t="inlineStr">
        <is>
          <t>3º tri - base presumida CSLL</t>
        </is>
      </c>
      <c r="C1044" s="6" t="inlineStr">
        <is>
          <t>R$ 120.000,00 x 32,0%</t>
        </is>
      </c>
      <c r="D1044" s="7" t="n">
        <v>38400</v>
      </c>
      <c r="E1044" s="6" t="inlineStr">
        <is>
          <t>Lei 9.249/1995, arts. 15 e 20</t>
        </is>
      </c>
    </row>
    <row r="1045">
      <c r="A1045" s="5" t="inlineStr">
        <is>
          <t>AU3-LP</t>
        </is>
      </c>
      <c r="B1045" s="6" t="inlineStr">
        <is>
          <t>3º tri - CSLL</t>
        </is>
      </c>
      <c r="C1045" s="6" t="inlineStr">
        <is>
          <t>R$ 38.400,00 x 9%</t>
        </is>
      </c>
      <c r="D1045" s="7" t="n">
        <v>3456</v>
      </c>
      <c r="E1045" s="6" t="inlineStr">
        <is>
          <t>Lei 7.689/1988, art. 3º</t>
        </is>
      </c>
    </row>
    <row r="1046">
      <c r="A1046" s="5" t="inlineStr">
        <is>
          <t>AU3-LP</t>
        </is>
      </c>
      <c r="B1046" s="6" t="inlineStr">
        <is>
          <t>4º tri - base presumida IRPJ</t>
        </is>
      </c>
      <c r="C1046" s="6" t="inlineStr">
        <is>
          <t>R$ 120.000,00 x 32,0%</t>
        </is>
      </c>
      <c r="D1046" s="7" t="n">
        <v>38400</v>
      </c>
      <c r="E1046" s="6" t="inlineStr">
        <is>
          <t>Lei 9.249/1995, arts. 15 e 20</t>
        </is>
      </c>
    </row>
    <row r="1047">
      <c r="A1047" s="5" t="inlineStr">
        <is>
          <t>AU3-LP</t>
        </is>
      </c>
      <c r="B1047" s="6" t="inlineStr">
        <is>
          <t>4º tri - IRPJ</t>
        </is>
      </c>
      <c r="C1047" s="6" t="inlineStr">
        <is>
          <t>R$ 38.400,00 x 15% + adicional 10% sobre o que exceder R$ 60.000,00</t>
        </is>
      </c>
      <c r="D1047" s="7" t="n">
        <v>5760</v>
      </c>
      <c r="E1047" s="6" t="inlineStr">
        <is>
          <t>Lei 9.430/1996, arts. 3º e 4º</t>
        </is>
      </c>
    </row>
    <row r="1048">
      <c r="A1048" s="5" t="inlineStr">
        <is>
          <t>AU3-LP</t>
        </is>
      </c>
      <c r="B1048" s="6" t="inlineStr">
        <is>
          <t>4º tri - base presumida CSLL</t>
        </is>
      </c>
      <c r="C1048" s="6" t="inlineStr">
        <is>
          <t>R$ 120.000,00 x 32,0%</t>
        </is>
      </c>
      <c r="D1048" s="7" t="n">
        <v>38400</v>
      </c>
      <c r="E1048" s="6" t="inlineStr">
        <is>
          <t>Lei 9.249/1995, arts. 15 e 20</t>
        </is>
      </c>
    </row>
    <row r="1049">
      <c r="A1049" s="5" t="inlineStr">
        <is>
          <t>AU3-LP</t>
        </is>
      </c>
      <c r="B1049" s="6" t="inlineStr">
        <is>
          <t>4º tri - CSLL</t>
        </is>
      </c>
      <c r="C1049" s="6" t="inlineStr">
        <is>
          <t>R$ 38.400,00 x 9%</t>
        </is>
      </c>
      <c r="D1049" s="7" t="n">
        <v>3456</v>
      </c>
      <c r="E1049" s="6" t="inlineStr">
        <is>
          <t>Lei 7.689/1988, art. 3º</t>
        </is>
      </c>
    </row>
    <row r="1050">
      <c r="A1050" s="5" t="inlineStr">
        <is>
          <t>AU3-LP</t>
        </is>
      </c>
      <c r="B1050" s="6" t="inlineStr">
        <is>
          <t>PIS cumulativo</t>
        </is>
      </c>
      <c r="C1050" s="6" t="inlineStr">
        <is>
          <t>R$ 480.000,00 x 0,65%</t>
        </is>
      </c>
      <c r="D1050" s="7" t="n">
        <v>3120</v>
      </c>
      <c r="E1050" s="6" t="inlineStr">
        <is>
          <t>Lei 9.715/1998</t>
        </is>
      </c>
    </row>
    <row r="1051">
      <c r="A1051" s="5" t="inlineStr">
        <is>
          <t>AU3-LP</t>
        </is>
      </c>
      <c r="B1051" s="6" t="inlineStr">
        <is>
          <t>Cofins cumulativa</t>
        </is>
      </c>
      <c r="C1051" s="6" t="inlineStr">
        <is>
          <t>R$ 480.000,00 x 3,00%</t>
        </is>
      </c>
      <c r="D1051" s="7" t="n">
        <v>14400</v>
      </c>
      <c r="E1051" s="6" t="inlineStr">
        <is>
          <t>Lei 9.718/1998</t>
        </is>
      </c>
    </row>
    <row r="1052">
      <c r="A1052" s="5" t="inlineStr">
        <is>
          <t>AU3-LP</t>
        </is>
      </c>
      <c r="B1052" s="6" t="inlineStr">
        <is>
          <t>ISS</t>
        </is>
      </c>
      <c r="C1052" s="6" t="inlineStr">
        <is>
          <t>R$ 480.000,00 x 5,00%</t>
        </is>
      </c>
      <c r="D1052" s="7" t="n">
        <v>24000</v>
      </c>
      <c r="E1052" s="6" t="inlineStr">
        <is>
          <t>LC 116/2003 e lei municipal</t>
        </is>
      </c>
    </row>
    <row r="1053">
      <c r="A1053" s="5" t="inlineStr">
        <is>
          <t>AU3-LP</t>
        </is>
      </c>
      <c r="B1053" s="6" t="inlineStr">
        <is>
          <t>INSS patronal sobre a folha CLT</t>
        </is>
      </c>
      <c r="C1053" s="6" t="inlineStr">
        <is>
          <t>R$ 0,00 x (20,00% CPP + 2,00% RAT + 5,80% terceiros)</t>
        </is>
      </c>
      <c r="D1053" s="7" t="n">
        <v>0</v>
      </c>
      <c r="E1053" s="6" t="inlineStr">
        <is>
          <t>Lei 8.212/1991, art. 22, I e II</t>
        </is>
      </c>
    </row>
    <row r="1054">
      <c r="A1054" s="5" t="inlineStr">
        <is>
          <t>AU3-LP</t>
        </is>
      </c>
      <c r="B1054" s="6" t="inlineStr">
        <is>
          <t>INSS patronal sobre o pró-labore</t>
        </is>
      </c>
      <c r="C1054" s="6" t="inlineStr">
        <is>
          <t>R$ 19.452,00 x 20,00%</t>
        </is>
      </c>
      <c r="D1054" s="7" t="n">
        <v>3890.4</v>
      </c>
      <c r="E1054" s="6" t="inlineStr">
        <is>
          <t>Lei 8.212/1991, art. 22, III</t>
        </is>
      </c>
    </row>
    <row r="1055">
      <c r="A1055" s="5" t="inlineStr">
        <is>
          <t>AU3-LP</t>
        </is>
      </c>
      <c r="B1055" s="6" t="inlineStr">
        <is>
          <t>IRPJ mensal</t>
        </is>
      </c>
      <c r="C1055" s="6" t="inlineStr">
        <is>
          <t>R$ 23.040,00 / 12</t>
        </is>
      </c>
      <c r="D1055" s="7" t="n">
        <v>1920</v>
      </c>
      <c r="E1055" s="6" t="inlineStr"/>
    </row>
    <row r="1056">
      <c r="A1056" s="5" t="inlineStr">
        <is>
          <t>AU3-LP</t>
        </is>
      </c>
      <c r="B1056" s="6" t="inlineStr">
        <is>
          <t>CSLL mensal</t>
        </is>
      </c>
      <c r="C1056" s="6" t="inlineStr">
        <is>
          <t>R$ 13.824,00 / 12</t>
        </is>
      </c>
      <c r="D1056" s="7" t="n">
        <v>1152</v>
      </c>
      <c r="E1056" s="6" t="inlineStr"/>
    </row>
    <row r="1057">
      <c r="A1057" s="5" t="inlineStr">
        <is>
          <t>AU3-LP</t>
        </is>
      </c>
      <c r="B1057" s="6" t="inlineStr">
        <is>
          <t>PIS mensal</t>
        </is>
      </c>
      <c r="C1057" s="6" t="inlineStr">
        <is>
          <t>R$ 3.120,00 / 12</t>
        </is>
      </c>
      <c r="D1057" s="7" t="n">
        <v>260</v>
      </c>
      <c r="E1057" s="6" t="inlineStr"/>
    </row>
    <row r="1058">
      <c r="A1058" s="5" t="inlineStr">
        <is>
          <t>AU3-LP</t>
        </is>
      </c>
      <c r="B1058" s="6" t="inlineStr">
        <is>
          <t>Cofins mensal</t>
        </is>
      </c>
      <c r="C1058" s="6" t="inlineStr">
        <is>
          <t>R$ 14.400,00 / 12</t>
        </is>
      </c>
      <c r="D1058" s="7" t="n">
        <v>1200</v>
      </c>
      <c r="E1058" s="6" t="inlineStr"/>
    </row>
    <row r="1059">
      <c r="A1059" s="5" t="inlineStr">
        <is>
          <t>AU3-LP</t>
        </is>
      </c>
      <c r="B1059" s="6" t="inlineStr">
        <is>
          <t>ISS mensal</t>
        </is>
      </c>
      <c r="C1059" s="6" t="inlineStr">
        <is>
          <t>R$ 24.000,00 / 12</t>
        </is>
      </c>
      <c r="D1059" s="7" t="n">
        <v>2000</v>
      </c>
      <c r="E1059" s="6" t="inlineStr"/>
    </row>
    <row r="1060">
      <c r="A1060" s="5" t="inlineStr">
        <is>
          <t>AU3-LP</t>
        </is>
      </c>
      <c r="B1060" s="6" t="inlineStr">
        <is>
          <t>INSS patronal mensal</t>
        </is>
      </c>
      <c r="C1060" s="6" t="inlineStr">
        <is>
          <t>R$ 3.890,40 / 12</t>
        </is>
      </c>
      <c r="D1060" s="7" t="n">
        <v>324.2</v>
      </c>
      <c r="E1060" s="6" t="inlineStr"/>
    </row>
    <row r="1061">
      <c r="A1061" s="5" t="inlineStr">
        <is>
          <t>AU3-LP</t>
        </is>
      </c>
      <c r="B1061" s="6" t="inlineStr">
        <is>
          <t>INSS do sócio</t>
        </is>
      </c>
      <c r="C1061" s="6" t="inlineStr">
        <is>
          <t>R$ 1.621,00 x 11%</t>
        </is>
      </c>
      <c r="D1061" s="7" t="n">
        <v>178.31</v>
      </c>
      <c r="E1061" s="6" t="inlineStr">
        <is>
          <t>Lei 8.212/1991, art. 21</t>
        </is>
      </c>
    </row>
    <row r="1062">
      <c r="A1062" s="5" t="inlineStr">
        <is>
          <t>REC1</t>
        </is>
      </c>
      <c r="B1062" s="6" t="inlineStr">
        <is>
          <t>Venda de itens monofásicos (provável)</t>
        </is>
      </c>
      <c r="C1062" s="6" t="inlineStr">
        <is>
          <t>soma dos itens com CST PIS 04 ou NCM da lista</t>
        </is>
      </c>
      <c r="D1062" s="7" t="n">
        <v>10000</v>
      </c>
      <c r="E1062" s="6" t="inlineStr">
        <is>
          <t>LC 123/2006, art. 18, §4º-A, I; Res. CGSN 140/2018, art. 25</t>
        </is>
      </c>
    </row>
    <row r="1063">
      <c r="A1063" s="5" t="inlineStr">
        <is>
          <t>REC1</t>
        </is>
      </c>
      <c r="B1063" s="6" t="inlineStr">
        <is>
          <t>Venda de itens com ICMS-ST (provável)</t>
        </is>
      </c>
      <c r="C1063" s="6" t="inlineStr">
        <is>
          <t>soma dos itens com CSOSN 500/201/202/203, CST 10/30/60/70 ou CFOP de ST</t>
        </is>
      </c>
      <c r="D1063" s="7" t="n">
        <v>20000</v>
      </c>
      <c r="E1063" s="6" t="inlineStr">
        <is>
          <t>LC 123/2006, art. 13, §1º, XIII, a, e art. 18, §4º-A, I; Res. CGSN 140/2018, art. 25</t>
        </is>
      </c>
    </row>
    <row r="1064">
      <c r="A1064" s="5" t="inlineStr">
        <is>
          <t>REC1</t>
        </is>
      </c>
      <c r="B1064" s="6" t="inlineStr">
        <is>
          <t>Exemplo: 01/2026 - RBT12</t>
        </is>
      </c>
      <c r="C1064" s="6" t="inlineStr">
        <is>
          <t>soma da receita dos 12 meses anteriores</t>
        </is>
      </c>
      <c r="D1064" s="7" t="n">
        <v>1200000</v>
      </c>
      <c r="E1064" s="6" t="inlineStr">
        <is>
          <t>LC 123/2006, art. 3º, §§ 1º e 2º, e art. 18, §1º</t>
        </is>
      </c>
    </row>
    <row r="1065">
      <c r="A1065" s="5" t="inlineStr">
        <is>
          <t>REC1</t>
        </is>
      </c>
      <c r="B1065" s="6" t="inlineStr">
        <is>
          <t>Exemplo: 01/2026 - alíquota efetiva (faixa 4)</t>
        </is>
      </c>
      <c r="C1065" s="6" t="inlineStr">
        <is>
          <t>(RBT12 x alíquota nominal - parcela a deduzir) / RBT12</t>
        </is>
      </c>
      <c r="D1065" s="7" t="n">
        <v>0.08825</v>
      </c>
      <c r="E1065" s="6" t="inlineStr">
        <is>
          <t>LC 123/2006, art. 18, §1º</t>
        </is>
      </c>
    </row>
    <row r="1066">
      <c r="A1066" s="5" t="inlineStr">
        <is>
          <t>REC1</t>
        </is>
      </c>
      <c r="B1066" s="6" t="inlineStr">
        <is>
          <t>Exemplo: 01/2026 - percentual de PIS+Cofins na repartição da faixa</t>
        </is>
      </c>
      <c r="C1066" s="6" t="inlineStr">
        <is>
          <t>% de PIS + % de Cofins da faixa</t>
        </is>
      </c>
      <c r="D1066" s="7" t="n">
        <v>0.155</v>
      </c>
      <c r="E1066" s="6" t="inlineStr">
        <is>
          <t>LC 123/2006, Anexos I e II (repartição)</t>
        </is>
      </c>
    </row>
    <row r="1067">
      <c r="A1067" s="5" t="inlineStr">
        <is>
          <t>REC1</t>
        </is>
      </c>
      <c r="B1067" s="6" t="inlineStr">
        <is>
          <t>Exemplo: 01/2026 - percentual de ICMS na repartição da faixa</t>
        </is>
      </c>
      <c r="C1067" s="6" t="inlineStr">
        <is>
          <t>% de ICMS da faixa</t>
        </is>
      </c>
      <c r="D1067" s="7" t="n">
        <v>0.335</v>
      </c>
      <c r="E1067" s="6" t="inlineStr">
        <is>
          <t>LC 123/2006, Anexos I e II (repartição)</t>
        </is>
      </c>
    </row>
    <row r="1068">
      <c r="A1068" s="5" t="inlineStr">
        <is>
          <t>REC1</t>
        </is>
      </c>
      <c r="B1068" s="6" t="inlineStr">
        <is>
          <t>Exemplo: 01/2026 - PIS/Cofins pagos a mais</t>
        </is>
      </c>
      <c r="C1068" s="6" t="inlineStr">
        <is>
          <t>R$ 10.000,00 x 8,8250% x 15,50%</t>
        </is>
      </c>
      <c r="D1068" s="7" t="n">
        <v>136.79</v>
      </c>
      <c r="E1068" s="6" t="inlineStr">
        <is>
          <t>LC 123/2006, art. 18, §4º-A, I; Res. CGSN 140/2018, art. 25</t>
        </is>
      </c>
    </row>
    <row r="1069">
      <c r="A1069" s="5" t="inlineStr">
        <is>
          <t>REC1</t>
        </is>
      </c>
      <c r="B1069" s="6" t="inlineStr">
        <is>
          <t>Exemplo: 01/2026 - ICMS pago a mais</t>
        </is>
      </c>
      <c r="C1069" s="6" t="inlineStr">
        <is>
          <t>R$ 20.000,00 x 8,8250% x 33,50%</t>
        </is>
      </c>
      <c r="D1069" s="7" t="n">
        <v>591.28</v>
      </c>
      <c r="E1069" s="6" t="inlineStr">
        <is>
          <t>LC 123/2006, art. 13, §1º, XIII, a, e art. 18, §4º-A, I; Res. CGSN 140/2018, art. 25</t>
        </is>
      </c>
    </row>
    <row r="1070">
      <c r="A1070" s="5" t="inlineStr">
        <is>
          <t>REC1</t>
        </is>
      </c>
      <c r="B1070" s="6" t="inlineStr">
        <is>
          <t>PIS/Cofins pagos a mais no período</t>
        </is>
      </c>
      <c r="C1070" s="6" t="inlineStr">
        <is>
          <t>soma dos meses</t>
        </is>
      </c>
      <c r="D1070" s="7" t="n">
        <v>136.79</v>
      </c>
      <c r="E1070" s="6" t="inlineStr">
        <is>
          <t>LC 123/2006, art. 18, §4º-A, I; Res. CGSN 140/2018, art. 25</t>
        </is>
      </c>
    </row>
    <row r="1071">
      <c r="A1071" s="5" t="inlineStr">
        <is>
          <t>REC1</t>
        </is>
      </c>
      <c r="B1071" s="6" t="inlineStr">
        <is>
          <t>ICMS pago a mais no período</t>
        </is>
      </c>
      <c r="C1071" s="6" t="inlineStr">
        <is>
          <t>soma dos meses</t>
        </is>
      </c>
      <c r="D1071" s="7" t="n">
        <v>591.28</v>
      </c>
      <c r="E1071" s="6" t="inlineStr">
        <is>
          <t>LC 123/2006, art. 13, §1º, XIII, a, e art. 18, §4º-A, I; Res. CGSN 140/2018, art. 25</t>
        </is>
      </c>
    </row>
    <row r="1072">
      <c r="A1072" s="5" t="inlineStr">
        <is>
          <t>REC1</t>
        </is>
      </c>
      <c r="B1072" s="6" t="inlineStr">
        <is>
          <t>Economia por ano daqui para frente</t>
        </is>
      </c>
      <c r="C1072" s="6" t="inlineStr">
        <is>
          <t>média mensal dos últimos 12 meses x 12</t>
        </is>
      </c>
      <c r="D1072" s="7" t="n">
        <v>728.0700000000001</v>
      </c>
      <c r="E1072" s="6" t="inlineStr">
        <is>
          <t>LC 123/2006, art. 18, §4º-A, I; Res. CGSN 140/2018, art. 25</t>
        </is>
      </c>
    </row>
    <row r="1073">
      <c r="A1073" s="5" t="inlineStr">
        <is>
          <t>REC2</t>
        </is>
      </c>
      <c r="B1073" s="6" t="inlineStr">
        <is>
          <t>Venda de itens monofásicos (provável)</t>
        </is>
      </c>
      <c r="C1073" s="6" t="inlineStr">
        <is>
          <t>soma dos itens com CST PIS 04 ou NCM da lista</t>
        </is>
      </c>
      <c r="D1073" s="7" t="n">
        <v>10000</v>
      </c>
      <c r="E1073" s="6" t="inlineStr">
        <is>
          <t>LC 123/2006, art. 18, §4º-A, I; Res. CGSN 140/2018, art. 25</t>
        </is>
      </c>
    </row>
    <row r="1074">
      <c r="A1074" s="5" t="inlineStr">
        <is>
          <t>REC2</t>
        </is>
      </c>
      <c r="B1074" s="6" t="inlineStr">
        <is>
          <t>Venda de itens com ICMS-ST (provável)</t>
        </is>
      </c>
      <c r="C1074" s="6" t="inlineStr">
        <is>
          <t>soma dos itens com CSOSN 500/201/202/203, CST 10/30/60/70 ou CFOP de ST</t>
        </is>
      </c>
      <c r="D1074" s="7" t="n">
        <v>10000</v>
      </c>
      <c r="E1074" s="6" t="inlineStr">
        <is>
          <t>LC 123/2006, art. 13, §1º, XIII, a, e art. 18, §4º-A, I; Res. CGSN 140/2018, art. 25</t>
        </is>
      </c>
    </row>
    <row r="1075">
      <c r="A1075" s="5" t="inlineStr">
        <is>
          <t>REC2</t>
        </is>
      </c>
      <c r="B1075" s="6" t="inlineStr">
        <is>
          <t>Exemplo: 01/2026 - RBT12</t>
        </is>
      </c>
      <c r="C1075" s="6" t="inlineStr">
        <is>
          <t>soma da receita dos 12 meses anteriores</t>
        </is>
      </c>
      <c r="D1075" s="7" t="n">
        <v>4800000</v>
      </c>
      <c r="E1075" s="6" t="inlineStr">
        <is>
          <t>LC 123/2006, art. 3º, §§ 1º e 2º, e art. 18, §1º</t>
        </is>
      </c>
    </row>
    <row r="1076">
      <c r="A1076" s="5" t="inlineStr">
        <is>
          <t>REC2</t>
        </is>
      </c>
      <c r="B1076" s="6" t="inlineStr">
        <is>
          <t>Exemplo: 01/2026 - alíquota efetiva (faixa 6)</t>
        </is>
      </c>
      <c r="C1076" s="6" t="inlineStr">
        <is>
          <t>(RBT12 x alíquota nominal - parcela a deduzir) / RBT12</t>
        </is>
      </c>
      <c r="D1076" s="7" t="n">
        <v>0.11125</v>
      </c>
      <c r="E1076" s="6" t="inlineStr">
        <is>
          <t>LC 123/2006, art. 18, §1º</t>
        </is>
      </c>
    </row>
    <row r="1077">
      <c r="A1077" s="5" t="inlineStr">
        <is>
          <t>REC2</t>
        </is>
      </c>
      <c r="B1077" s="6" t="inlineStr">
        <is>
          <t>Exemplo: 01/2026 - percentual de PIS+Cofins na repartição da faixa</t>
        </is>
      </c>
      <c r="C1077" s="6" t="inlineStr">
        <is>
          <t>% de PIS + % de Cofins da faixa</t>
        </is>
      </c>
      <c r="D1077" s="7" t="n">
        <v>0.344</v>
      </c>
      <c r="E1077" s="6" t="inlineStr">
        <is>
          <t>LC 123/2006, Anexos I e II (repartição)</t>
        </is>
      </c>
    </row>
    <row r="1078">
      <c r="A1078" s="5" t="inlineStr">
        <is>
          <t>REC2</t>
        </is>
      </c>
      <c r="B1078" s="6" t="inlineStr">
        <is>
          <t>Exemplo: 01/2026 - percentual de ICMS na repartição da faixa</t>
        </is>
      </c>
      <c r="C1078" s="6" t="inlineStr">
        <is>
          <t>% de ICMS da faixa</t>
        </is>
      </c>
      <c r="D1078" s="7" t="n">
        <v>0</v>
      </c>
      <c r="E1078" s="6" t="inlineStr">
        <is>
          <t>LC 123/2006, Anexos I e II (repartição)</t>
        </is>
      </c>
    </row>
    <row r="1079">
      <c r="A1079" s="5" t="inlineStr">
        <is>
          <t>REC2</t>
        </is>
      </c>
      <c r="B1079" s="6" t="inlineStr">
        <is>
          <t>Exemplo: 01/2026 - PIS/Cofins pagos a mais</t>
        </is>
      </c>
      <c r="C1079" s="6" t="inlineStr">
        <is>
          <t>R$ 10.000,00 x 11,1250% x 34,40%</t>
        </is>
      </c>
      <c r="D1079" s="7" t="n">
        <v>382.7</v>
      </c>
      <c r="E1079" s="6" t="inlineStr">
        <is>
          <t>LC 123/2006, art. 18, §4º-A, I; Res. CGSN 140/2018, art. 25</t>
        </is>
      </c>
    </row>
    <row r="1080">
      <c r="A1080" s="5" t="inlineStr">
        <is>
          <t>REC2</t>
        </is>
      </c>
      <c r="B1080" s="6" t="inlineStr">
        <is>
          <t>Exemplo: 01/2026 - ICMS pago a mais</t>
        </is>
      </c>
      <c r="C1080" s="6" t="inlineStr">
        <is>
          <t>R$ 10.000,00 x 11,1250% x 0,00%</t>
        </is>
      </c>
      <c r="D1080" s="7" t="n">
        <v>0</v>
      </c>
      <c r="E1080" s="6" t="inlineStr">
        <is>
          <t>LC 123/2006, art. 13, §1º, XIII, a, e art. 18, §4º-A, I; Res. CGSN 140/2018, art. 25</t>
        </is>
      </c>
    </row>
    <row r="1081">
      <c r="A1081" s="5" t="inlineStr">
        <is>
          <t>REC2</t>
        </is>
      </c>
      <c r="B1081" s="6" t="inlineStr">
        <is>
          <t>PIS/Cofins pagos a mais no período</t>
        </is>
      </c>
      <c r="C1081" s="6" t="inlineStr">
        <is>
          <t>soma dos meses</t>
        </is>
      </c>
      <c r="D1081" s="7" t="n">
        <v>382.7</v>
      </c>
      <c r="E1081" s="6" t="inlineStr">
        <is>
          <t>LC 123/2006, art. 18, §4º-A, I; Res. CGSN 140/2018, art. 25</t>
        </is>
      </c>
    </row>
    <row r="1082">
      <c r="A1082" s="5" t="inlineStr">
        <is>
          <t>REC2</t>
        </is>
      </c>
      <c r="B1082" s="6" t="inlineStr">
        <is>
          <t>ICMS pago a mais no período</t>
        </is>
      </c>
      <c r="C1082" s="6" t="inlineStr">
        <is>
          <t>soma dos meses</t>
        </is>
      </c>
      <c r="D1082" s="7" t="n">
        <v>0</v>
      </c>
      <c r="E1082" s="6" t="inlineStr">
        <is>
          <t>LC 123/2006, art. 13, §1º, XIII, a, e art. 18, §4º-A, I; Res. CGSN 140/2018, art. 25</t>
        </is>
      </c>
    </row>
    <row r="1083">
      <c r="A1083" s="5" t="inlineStr">
        <is>
          <t>REC2</t>
        </is>
      </c>
      <c r="B1083" s="6" t="inlineStr">
        <is>
          <t>Economia por ano daqui para frente</t>
        </is>
      </c>
      <c r="C1083" s="6" t="inlineStr">
        <is>
          <t>média mensal dos últimos 12 meses x 12</t>
        </is>
      </c>
      <c r="D1083" s="7" t="n">
        <v>382.7</v>
      </c>
      <c r="E1083" s="6" t="inlineStr">
        <is>
          <t>LC 123/2006, art. 18, §4º-A, I; Res. CGSN 140/2018, art. 25</t>
        </is>
      </c>
    </row>
    <row r="1084">
      <c r="A1084" s="5" t="inlineStr">
        <is>
          <t>REC3</t>
        </is>
      </c>
      <c r="B1084" s="6" t="inlineStr">
        <is>
          <t>Venda de itens monofásicos (provável)</t>
        </is>
      </c>
      <c r="C1084" s="6" t="inlineStr">
        <is>
          <t>soma dos itens com CST PIS 04 ou NCM da lista</t>
        </is>
      </c>
      <c r="D1084" s="7" t="n">
        <v>8000</v>
      </c>
      <c r="E1084" s="6" t="inlineStr">
        <is>
          <t>LC 123/2006, art. 18, §4º-A, I; Res. CGSN 140/2018, art. 25</t>
        </is>
      </c>
    </row>
    <row r="1085">
      <c r="A1085" s="5" t="inlineStr">
        <is>
          <t>REC3</t>
        </is>
      </c>
      <c r="B1085" s="6" t="inlineStr">
        <is>
          <t>Venda de itens com ICMS-ST (provável)</t>
        </is>
      </c>
      <c r="C1085" s="6" t="inlineStr">
        <is>
          <t>soma dos itens com CSOSN 500/201/202/203, CST 10/30/60/70 ou CFOP de ST</t>
        </is>
      </c>
      <c r="D1085" s="7" t="n">
        <v>12000</v>
      </c>
      <c r="E1085" s="6" t="inlineStr">
        <is>
          <t>LC 123/2006, art. 13, §1º, XIII, a, e art. 18, §4º-A, I; Res. CGSN 140/2018, art. 25</t>
        </is>
      </c>
    </row>
    <row r="1086">
      <c r="A1086" s="5" t="inlineStr">
        <is>
          <t>REC3</t>
        </is>
      </c>
      <c r="B1086" s="6" t="inlineStr">
        <is>
          <t>Exemplo: 01/2026 - RBT12</t>
        </is>
      </c>
      <c r="C1086" s="6" t="inlineStr">
        <is>
          <t>soma da receita dos 12 meses anteriores</t>
        </is>
      </c>
      <c r="D1086" s="7" t="n">
        <v>600000</v>
      </c>
      <c r="E1086" s="6" t="inlineStr">
        <is>
          <t>LC 123/2006, art. 3º, §§ 1º e 2º, e art. 18, §1º</t>
        </is>
      </c>
    </row>
    <row r="1087">
      <c r="A1087" s="5" t="inlineStr">
        <is>
          <t>REC3</t>
        </is>
      </c>
      <c r="B1087" s="6" t="inlineStr">
        <is>
          <t>Exemplo: 01/2026 - alíquota efetiva (faixa 3)</t>
        </is>
      </c>
      <c r="C1087" s="6" t="inlineStr">
        <is>
          <t>(RBT12 x alíquota nominal - parcela a deduzir) / RBT12</t>
        </is>
      </c>
      <c r="D1087" s="7" t="n">
        <v>0.0769</v>
      </c>
      <c r="E1087" s="6" t="inlineStr">
        <is>
          <t>LC 123/2006, art. 18, §1º</t>
        </is>
      </c>
    </row>
    <row r="1088">
      <c r="A1088" s="5" t="inlineStr">
        <is>
          <t>REC3</t>
        </is>
      </c>
      <c r="B1088" s="6" t="inlineStr">
        <is>
          <t>Exemplo: 01/2026 - percentual de PIS+Cofins na repartição da faixa</t>
        </is>
      </c>
      <c r="C1088" s="6" t="inlineStr">
        <is>
          <t>% de PIS + % de Cofins da faixa</t>
        </is>
      </c>
      <c r="D1088" s="7" t="n">
        <v>0.14</v>
      </c>
      <c r="E1088" s="6" t="inlineStr">
        <is>
          <t>LC 123/2006, Anexos I e II (repartição)</t>
        </is>
      </c>
    </row>
    <row r="1089">
      <c r="A1089" s="5" t="inlineStr">
        <is>
          <t>REC3</t>
        </is>
      </c>
      <c r="B1089" s="6" t="inlineStr">
        <is>
          <t>Exemplo: 01/2026 - percentual de ICMS na repartição da faixa</t>
        </is>
      </c>
      <c r="C1089" s="6" t="inlineStr">
        <is>
          <t>% de ICMS da faixa</t>
        </is>
      </c>
      <c r="D1089" s="7" t="n">
        <v>0.32</v>
      </c>
      <c r="E1089" s="6" t="inlineStr">
        <is>
          <t>LC 123/2006, Anexos I e II (repartição)</t>
        </is>
      </c>
    </row>
    <row r="1090">
      <c r="A1090" s="5" t="inlineStr">
        <is>
          <t>REC3</t>
        </is>
      </c>
      <c r="B1090" s="6" t="inlineStr">
        <is>
          <t>Exemplo: 01/2026 - PIS/Cofins pagos a mais</t>
        </is>
      </c>
      <c r="C1090" s="6" t="inlineStr">
        <is>
          <t>R$ 8.000,00 x 7,6900% x 14,00%</t>
        </is>
      </c>
      <c r="D1090" s="7" t="n">
        <v>86.13</v>
      </c>
      <c r="E1090" s="6" t="inlineStr">
        <is>
          <t>LC 123/2006, art. 18, §4º-A, I; Res. CGSN 140/2018, art. 25</t>
        </is>
      </c>
    </row>
    <row r="1091">
      <c r="A1091" s="5" t="inlineStr">
        <is>
          <t>REC3</t>
        </is>
      </c>
      <c r="B1091" s="6" t="inlineStr">
        <is>
          <t>Exemplo: 01/2026 - ICMS pago a mais</t>
        </is>
      </c>
      <c r="C1091" s="6" t="inlineStr">
        <is>
          <t>R$ 12.000,00 x 7,6900% x 32,00%</t>
        </is>
      </c>
      <c r="D1091" s="7" t="n">
        <v>295.3</v>
      </c>
      <c r="E1091" s="6" t="inlineStr">
        <is>
          <t>LC 123/2006, art. 13, §1º, XIII, a, e art. 18, §4º-A, I; Res. CGSN 140/2018, art. 25</t>
        </is>
      </c>
    </row>
    <row r="1092">
      <c r="A1092" s="5" t="inlineStr">
        <is>
          <t>REC3</t>
        </is>
      </c>
      <c r="B1092" s="6" t="inlineStr">
        <is>
          <t>PIS/Cofins pagos a mais no período</t>
        </is>
      </c>
      <c r="C1092" s="6" t="inlineStr">
        <is>
          <t>soma dos meses</t>
        </is>
      </c>
      <c r="D1092" s="7" t="n">
        <v>86.13</v>
      </c>
      <c r="E1092" s="6" t="inlineStr">
        <is>
          <t>LC 123/2006, art. 18, §4º-A, I; Res. CGSN 140/2018, art. 25</t>
        </is>
      </c>
    </row>
    <row r="1093">
      <c r="A1093" s="5" t="inlineStr">
        <is>
          <t>REC3</t>
        </is>
      </c>
      <c r="B1093" s="6" t="inlineStr">
        <is>
          <t>ICMS pago a mais no período</t>
        </is>
      </c>
      <c r="C1093" s="6" t="inlineStr">
        <is>
          <t>soma dos meses</t>
        </is>
      </c>
      <c r="D1093" s="7" t="n">
        <v>295.3</v>
      </c>
      <c r="E1093" s="6" t="inlineStr">
        <is>
          <t>LC 123/2006, art. 13, §1º, XIII, a, e art. 18, §4º-A, I; Res. CGSN 140/2018, art. 25</t>
        </is>
      </c>
    </row>
    <row r="1094">
      <c r="A1094" s="5" t="inlineStr">
        <is>
          <t>REC3</t>
        </is>
      </c>
      <c r="B1094" s="6" t="inlineStr">
        <is>
          <t>Economia por ano daqui para frente</t>
        </is>
      </c>
      <c r="C1094" s="6" t="inlineStr">
        <is>
          <t>média mensal dos últimos 12 meses x 12</t>
        </is>
      </c>
      <c r="D1094" s="7" t="n">
        <v>381.43</v>
      </c>
      <c r="E1094" s="6" t="inlineStr">
        <is>
          <t>LC 123/2006, art. 18, §4º-A, I; Res. CGSN 140/2018, art. 25</t>
        </is>
      </c>
    </row>
  </sheetData>
  <autoFilter ref="A1:E109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6"/>
  <sheetViews>
    <sheetView workbookViewId="0">
      <pane ySplit="1" topLeftCell="A2" activePane="bottomLeft" state="frozen"/>
      <selection pane="bottomLeft" activeCell="A1" sqref="A1"/>
    </sheetView>
  </sheetViews>
  <sheetFormatPr baseColWidth="8" defaultRowHeight="15"/>
  <cols>
    <col width="11" customWidth="1" min="1" max="1"/>
    <col width="140" customWidth="1" min="2" max="2"/>
  </cols>
  <sheetData>
    <row r="1" ht="30" customHeight="1">
      <c r="A1" s="4" t="inlineStr">
        <is>
          <t>Caso</t>
        </is>
      </c>
      <c r="B1" s="4" t="inlineStr">
        <is>
          <t>Alerta / premissa</t>
        </is>
      </c>
    </row>
    <row r="2">
      <c r="A2" s="6" t="inlineStr">
        <is>
          <t>E1-SN</t>
        </is>
      </c>
      <c r="B2" s="6" t="inlineStr">
        <is>
          <t>Folha do fator R (LC 123/2006, art. 18, §§ 24 a 26; Res. CGSN 140/2018, art. 26): remunerações pagas a pessoas físicas (com o 13º salário), pró-labore e FGTS; não entram aluguéis nem distribuição de lucros. A contribuição patronal só entra se for recolhida fora do DAS, o que não é o caso dos Anexos III e V. Se o valor apurado no eSocial ou no PGDAS-D for diferente, informe-o em "Folha do fator R informada".</t>
        </is>
      </c>
    </row>
    <row r="3">
      <c r="A3" s="6" t="inlineStr">
        <is>
          <t>E1-SN</t>
        </is>
      </c>
      <c r="B3" s="6" t="inlineStr">
        <is>
          <t>Fator R abaixo de 28%: acrescentar cerca de R$ 360,00/mês de pró-labore levaria ao Anexo III. Compare o custo do INSS sobre esse pró-labore.</t>
        </is>
      </c>
    </row>
    <row r="4">
      <c r="A4" s="6" t="inlineStr">
        <is>
          <t>E1-SN</t>
        </is>
      </c>
      <c r="B4" s="6" t="inlineStr">
        <is>
          <t>Estimativa com faturamento mensal constante; o DAS real varia mês a mês com o RBT12.</t>
        </is>
      </c>
    </row>
    <row r="5">
      <c r="A5" s="6" t="inlineStr">
        <is>
          <t>E1-LR</t>
        </is>
      </c>
      <c r="B5" s="6" t="inlineStr">
        <is>
          <t>Estimativa gerencial: considera todo o estoque comprado como vendido no ano e não detalha adições/exclusões do LALUR além das informadas.</t>
        </is>
      </c>
    </row>
    <row r="6">
      <c r="A6" s="6" t="inlineStr">
        <is>
          <t>E2-SN</t>
        </is>
      </c>
      <c r="B6" s="6" t="inlineStr">
        <is>
          <t>Folha do fator R (LC 123/2006, art. 18, §§ 24 a 26; Res. CGSN 140/2018, art. 26): remunerações pagas a pessoas físicas (com o 13º salário), pró-labore e FGTS; não entram aluguéis nem distribuição de lucros. A contribuição patronal só entra se for recolhida fora do DAS, o que não é o caso dos Anexos III e V. Se o valor apurado no eSocial ou no PGDAS-D for diferente, informe-o em "Folha do fator R informada".</t>
        </is>
      </c>
    </row>
    <row r="7">
      <c r="A7" s="6" t="inlineStr">
        <is>
          <t>E2-SN</t>
        </is>
      </c>
      <c r="B7" s="6" t="inlineStr">
        <is>
          <t>Estimativa com faturamento mensal constante; o DAS real varia mês a mês com o RBT12.</t>
        </is>
      </c>
    </row>
    <row r="8">
      <c r="A8" s="6" t="inlineStr">
        <is>
          <t>E2-LR</t>
        </is>
      </c>
      <c r="B8" s="6" t="inlineStr">
        <is>
          <t>Estimativa gerencial: considera todo o estoque comprado como vendido no ano e não detalha adições/exclusões do LALUR além das informadas.</t>
        </is>
      </c>
    </row>
    <row r="9">
      <c r="A9" s="6" t="inlineStr">
        <is>
          <t>E3-SN</t>
        </is>
      </c>
      <c r="B9" s="6" t="inlineStr">
        <is>
          <t>Estimativa com faturamento mensal constante; o DAS real varia mês a mês com o RBT12.</t>
        </is>
      </c>
    </row>
    <row r="10">
      <c r="A10" s="6" t="inlineStr">
        <is>
          <t>E3-LR</t>
        </is>
      </c>
      <c r="B10" s="6" t="inlineStr">
        <is>
          <t>Prejuízo fiscal: IRPJ/CSLL zerados; o prejuízo compensa até 30% de lucros futuros.</t>
        </is>
      </c>
    </row>
    <row r="11">
      <c r="A11" s="6" t="inlineStr">
        <is>
          <t>E3-LR</t>
        </is>
      </c>
      <c r="B11" s="6" t="inlineStr">
        <is>
          <t>Estimativa gerencial: considera todo o estoque comprado como vendido no ano e não detalha adições/exclusões do LALUR além das informadas.</t>
        </is>
      </c>
    </row>
    <row r="12">
      <c r="A12" s="6" t="inlineStr">
        <is>
          <t>E4-SN</t>
        </is>
      </c>
      <c r="B12" s="6" t="inlineStr">
        <is>
          <t>Estimativa com faturamento mensal constante; o DAS real varia mês a mês com o RBT12.</t>
        </is>
      </c>
    </row>
    <row r="13">
      <c r="A13" s="6" t="inlineStr">
        <is>
          <t>E4-LR</t>
        </is>
      </c>
      <c r="B13" s="6" t="inlineStr">
        <is>
          <t>Prejuízo fiscal: IRPJ/CSLL zerados; o prejuízo compensa até 30% de lucros futuros.</t>
        </is>
      </c>
    </row>
    <row r="14">
      <c r="A14" s="6" t="inlineStr">
        <is>
          <t>E4-LR</t>
        </is>
      </c>
      <c r="B14" s="6" t="inlineStr">
        <is>
          <t>Estimativa gerencial: considera todo o estoque comprado como vendido no ano e não detalha adições/exclusões do LALUR além das informadas.</t>
        </is>
      </c>
    </row>
    <row r="15">
      <c r="A15" s="6" t="inlineStr">
        <is>
          <t>E5-SN</t>
        </is>
      </c>
      <c r="B15" s="6" t="inlineStr">
        <is>
          <t>Estimativa com faturamento mensal constante; o DAS real varia mês a mês com o RBT12.</t>
        </is>
      </c>
    </row>
    <row r="16">
      <c r="A16" s="6" t="inlineStr">
        <is>
          <t>E5-LR</t>
        </is>
      </c>
      <c r="B16" s="6" t="inlineStr">
        <is>
          <t>Estimativa gerencial: considera todo o estoque comprado como vendido no ano e não detalha adições/exclusões do LALUR além das informadas.</t>
        </is>
      </c>
    </row>
    <row r="17">
      <c r="A17" s="6" t="inlineStr">
        <is>
          <t>E6-SN</t>
        </is>
      </c>
      <c r="B17" s="6" t="inlineStr">
        <is>
          <t>Receita acima de R$ 4.800.000,00: empresa não pode optar pelo Simples Nacional.</t>
        </is>
      </c>
    </row>
    <row r="18">
      <c r="A18" s="6" t="inlineStr">
        <is>
          <t>E6-LP</t>
        </is>
      </c>
      <c r="B18" s="6" t="inlineStr">
        <is>
          <t>Aplicado o acréscimo de 10% na presunção (LC 224/2025) sobre a receita acima de R$ 5 mi/ano. A regra é questionada no STF (ADIs 7920 e 7936) e há liminares afastando-a; confirme a situação do cliente.</t>
        </is>
      </c>
    </row>
    <row r="19">
      <c r="A19" s="6" t="inlineStr">
        <is>
          <t>E6-LR</t>
        </is>
      </c>
      <c r="B19" s="6" t="inlineStr">
        <is>
          <t>Estimativa gerencial: considera todo o estoque comprado como vendido no ano e não detalha adições/exclusões do LALUR além das informadas.</t>
        </is>
      </c>
    </row>
    <row r="20">
      <c r="A20" s="6" t="inlineStr">
        <is>
          <t>E7-SN</t>
        </is>
      </c>
      <c r="B20" s="6" t="inlineStr">
        <is>
          <t>Folha do fator R (LC 123/2006, art. 18, §§ 24 a 26; Res. CGSN 140/2018, art. 26): remunerações pagas a pessoas físicas (com o 13º salário), pró-labore e FGTS; não entram aluguéis nem distribuição de lucros. A contribuição patronal só entra se for recolhida fora do DAS, o que não é o caso dos Anexos III e V. Se o valor apurado no eSocial ou no PGDAS-D for diferente, informe-o em "Folha do fator R informada".</t>
        </is>
      </c>
    </row>
    <row r="21">
      <c r="A21" s="6" t="inlineStr">
        <is>
          <t>E7-SN</t>
        </is>
      </c>
      <c r="B21" s="6" t="inlineStr">
        <is>
          <t>Fator R abaixo de 28%: acrescentar cerca de R$ 10.500,00/mês de pró-labore levaria ao Anexo III. Compare o custo do INSS sobre esse pró-labore.</t>
        </is>
      </c>
    </row>
    <row r="22">
      <c r="A22" s="6" t="inlineStr">
        <is>
          <t>E7-SN</t>
        </is>
      </c>
      <c r="B22" s="6" t="inlineStr">
        <is>
          <t>Estimativa com faturamento mensal constante; o DAS real varia mês a mês com o RBT12.</t>
        </is>
      </c>
    </row>
    <row r="23">
      <c r="A23" s="6" t="inlineStr">
        <is>
          <t>E7-LR</t>
        </is>
      </c>
      <c r="B23" s="6" t="inlineStr">
        <is>
          <t>Estimativa gerencial: considera todo o estoque comprado como vendido no ano e não detalha adições/exclusões do LALUR além das informadas.</t>
        </is>
      </c>
    </row>
    <row r="24">
      <c r="A24" s="6" t="inlineStr">
        <is>
          <t>SOC1-B</t>
        </is>
      </c>
      <c r="B24" s="6" t="inlineStr">
        <is>
          <t>Dividendos pressupõem lucro contábil apurado (ou presumido menos tributos, sem escrituração) e distribuição aprovada.</t>
        </is>
      </c>
    </row>
    <row r="25">
      <c r="A25" s="6" t="inlineStr">
        <is>
          <t>SOC2-B</t>
        </is>
      </c>
      <c r="B25" s="6" t="inlineStr">
        <is>
          <t>Dividendos pressupõem lucro contábil apurado (ou presumido menos tributos, sem escrituração) e distribuição aprovada.</t>
        </is>
      </c>
    </row>
    <row r="26">
      <c r="A26" s="6" t="inlineStr">
        <is>
          <t>SOC3-B</t>
        </is>
      </c>
      <c r="B26" s="6" t="inlineStr">
        <is>
          <t>Dividendos pressupõem lucro contábil apurado (ou presumido menos tributos, sem escrituração) e distribuição aprovada.</t>
        </is>
      </c>
    </row>
    <row r="27">
      <c r="A27" s="6" t="inlineStr">
        <is>
          <t>SOC3-B</t>
        </is>
      </c>
      <c r="B27" s="6" t="inlineStr">
        <is>
          <t>Renda anual acima de R$ 600 mil: sujeito ao IRPFM (alíquota mínima estimada de 6,00% sobre a renda total, abatido o IR já pago e o redutor de carga da PJ). Não incluído no custo mensal.</t>
        </is>
      </c>
    </row>
    <row r="28">
      <c r="A28" s="6" t="inlineStr">
        <is>
          <t>RT1-2025</t>
        </is>
      </c>
      <c r="B28" s="6" t="inlineStr">
        <is>
          <t>Premissas: vendas sem tributos mantidas em R$ 1.567.000,00/ano e aquisições com crédito em R$ 873.000,00/ano; alíquotas de referência CBS 8,8% e IBS 17,7% (estimativas — a de 2027 depende de TCU/Senado); Imposto Seletivo não incluído.</t>
        </is>
      </c>
    </row>
    <row r="29">
      <c r="A29" s="6" t="inlineStr">
        <is>
          <t>RT2-2025</t>
        </is>
      </c>
      <c r="B29" s="6" t="inlineStr">
        <is>
          <t>Premissas: vendas sem tributos mantidas em R$ 1.096.200,00/ano e aquisições com crédito em R$ 108.900,00/ano; alíquotas de referência CBS 8,8% e IBS 17,7% (estimativas — a de 2027 depende de TCU/Senado); Imposto Seletivo não incluído.</t>
        </is>
      </c>
    </row>
    <row r="30">
      <c r="A30" s="6" t="inlineStr">
        <is>
          <t>RT3-2025</t>
        </is>
      </c>
      <c r="B30" s="6" t="inlineStr">
        <is>
          <t>Premissas: vendas sem tributos mantidas em R$ 548.100,00/ano e aquisições com crédito em R$ 54.450,00/ano; alíquotas de referência CBS 8,8% e IBS 17,7% (estimativas — a de 2027 depende de TCU/Senado); Imposto Seletivo não incluído.</t>
        </is>
      </c>
    </row>
    <row r="31">
      <c r="A31" s="6" t="inlineStr">
        <is>
          <t>RT5-2025</t>
        </is>
      </c>
      <c r="B31" s="6" t="inlineStr">
        <is>
          <t>Premissas: vendas sem tributos mantidas em R$ 575.100,00/ano e aquisições com crédito em R$ 0,00/ano; alíquotas de referência CBS 8,8% e IBS 17,7% (estimativas — a de 2027 depende de TCU/Senado); Imposto Seletivo não incluído.</t>
        </is>
      </c>
    </row>
    <row r="32">
      <c r="A32" s="6" t="inlineStr">
        <is>
          <t>RT5-2025</t>
        </is>
      </c>
      <c r="B32" s="6" t="inlineStr">
        <is>
          <t>ISS fixo da sociedade uniprofissional na transição: a LC 214/2025 (lida na versão atualizada até a LC 227/2026) não traz regra própria para o ISS fixo. O Tolaris aplica a ele a redução gradual do ISS de 2029 a 2032 (LC 116/2003, art. 8º-B, incluído pelo art. 508 da LC 214, cujo § 1º reduz os benefícios na mesma proporção das alíquotas) e o zera em 2033, quando o Decreto-Lei 406/1968 é revogado (LC 214, art. 543, I). É uma leitura, não uma regra expressa: confirme com o contador e com a lei do município.</t>
        </is>
      </c>
    </row>
    <row r="33">
      <c r="A33" s="6" t="inlineStr">
        <is>
          <t>RT4-2025</t>
        </is>
      </c>
      <c r="B33" s="6" t="inlineStr">
        <is>
          <t>Premissas: vendas sem tributos mantidas em R$ 2.182.500,00/ano e aquisições com crédito em R$ 1.236.750,00/ano; alíquotas de referência CBS 8,8% e IBS 17,7% (estimativas — a de 2027 depende de TCU/Senado); Imposto Seletivo não incluído.</t>
        </is>
      </c>
    </row>
    <row r="34">
      <c r="A34" s="6" t="inlineStr">
        <is>
          <t>SR1-2027</t>
        </is>
      </c>
      <c r="B34"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35">
      <c r="A35" s="6" t="inlineStr">
        <is>
          <t>SR1-2027</t>
        </is>
      </c>
      <c r="B35"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36">
      <c r="A36" s="6" t="inlineStr">
        <is>
          <t>SR1-2033</t>
        </is>
      </c>
      <c r="B36" s="6" t="inlineStr">
        <is>
          <t>2033: recolher por fora compensa mesmo sem vendas a empresas (créditos nas compras altos).</t>
        </is>
      </c>
    </row>
    <row r="37">
      <c r="A37" s="6" t="inlineStr">
        <is>
          <t>SR1-2033</t>
        </is>
      </c>
      <c r="B37"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38">
      <c r="A38" s="6" t="inlineStr">
        <is>
          <t>SR1-2033</t>
        </is>
      </c>
      <c r="B38"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39">
      <c r="A39" s="6" t="inlineStr">
        <is>
          <t>SR2-2027</t>
        </is>
      </c>
      <c r="B39"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40">
      <c r="A40" s="6" t="inlineStr">
        <is>
          <t>SR2-2027</t>
        </is>
      </c>
      <c r="B40"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41">
      <c r="A41" s="6" t="inlineStr">
        <is>
          <t>SR2-2033</t>
        </is>
      </c>
      <c r="B41"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42">
      <c r="A42" s="6" t="inlineStr">
        <is>
          <t>SR2-2033</t>
        </is>
      </c>
      <c r="B42"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43">
      <c r="A43" s="6" t="inlineStr">
        <is>
          <t>SR3-2027</t>
        </is>
      </c>
      <c r="B43"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44">
      <c r="A44" s="6" t="inlineStr">
        <is>
          <t>SR3-2027</t>
        </is>
      </c>
      <c r="B44"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45">
      <c r="A45" s="6" t="inlineStr">
        <is>
          <t>SR3-2033</t>
        </is>
      </c>
      <c r="B45"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46">
      <c r="A46" s="6" t="inlineStr">
        <is>
          <t>SR3-2033</t>
        </is>
      </c>
      <c r="B46"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47">
      <c r="A47" s="6" t="inlineStr">
        <is>
          <t>ENQ1</t>
        </is>
      </c>
      <c r="B47" s="6" t="inlineStr">
        <is>
          <t>Os caminhos são alternativas: o DAS de cada um é calculado como se a empresa seguisse só aquele caminho.</t>
        </is>
      </c>
    </row>
    <row r="48">
      <c r="A48" s="6" t="inlineStr">
        <is>
          <t>ENQ1</t>
        </is>
      </c>
      <c r="B48" s="6" t="inlineStr">
        <is>
          <t>Receita no Anexo III só vale se a empresa exerce de fato a atividade, tem o CNAE no cadastro e emite a nota com ela (LC 123/2006, art. 18, §§ 4º e 5º-B). O motor só mostra o efeito no imposto; a decisão é do contador.</t>
        </is>
      </c>
    </row>
    <row r="49">
      <c r="A49" s="6" t="inlineStr">
        <is>
          <t>ENQ1</t>
        </is>
      </c>
      <c r="B49" s="6" t="inlineStr">
        <is>
          <t>O INSS do sócio (11% sobre o pró-labore a mais, dentro do teto) é custo do caminho do fator R; o IRRF não entra.</t>
        </is>
      </c>
    </row>
    <row r="50">
      <c r="A50" s="6" t="inlineStr">
        <is>
          <t>ENQ2</t>
        </is>
      </c>
      <c r="B50" s="6" t="inlineStr">
        <is>
          <t>Os caminhos são alternativas: o DAS de cada um é calculado como se a empresa seguisse só aquele caminho.</t>
        </is>
      </c>
    </row>
    <row r="51">
      <c r="A51" s="6" t="inlineStr">
        <is>
          <t>ENQ2</t>
        </is>
      </c>
      <c r="B51" s="6" t="inlineStr">
        <is>
          <t>Receita no Anexo III só vale se a empresa exerce de fato a atividade, tem o CNAE no cadastro e emite a nota com ela (LC 123/2006, art. 18, §§ 4º e 5º-B). O motor só mostra o efeito no imposto; a decisão é do contador.</t>
        </is>
      </c>
    </row>
    <row r="52">
      <c r="A52" s="6" t="inlineStr">
        <is>
          <t>ENQ2</t>
        </is>
      </c>
      <c r="B52" s="6" t="inlineStr">
        <is>
          <t>O INSS do sócio (11% sobre o pró-labore a mais, dentro do teto) é custo do caminho do fator R; o IRRF não entra.</t>
        </is>
      </c>
    </row>
    <row r="53">
      <c r="A53" s="6" t="inlineStr">
        <is>
          <t>ENQ3</t>
        </is>
      </c>
      <c r="B53" s="6" t="inlineStr">
        <is>
          <t>Os caminhos são alternativas: o DAS de cada um é calculado como se a empresa seguisse só aquele caminho.</t>
        </is>
      </c>
    </row>
    <row r="54">
      <c r="A54" s="6" t="inlineStr">
        <is>
          <t>ENQ3</t>
        </is>
      </c>
      <c r="B54" s="6" t="inlineStr">
        <is>
          <t>Receita no Anexo III só vale se a empresa exerce de fato a atividade, tem o CNAE no cadastro e emite a nota com ela (LC 123/2006, art. 18, §§ 4º e 5º-B). O motor só mostra o efeito no imposto; a decisão é do contador.</t>
        </is>
      </c>
    </row>
    <row r="55">
      <c r="A55" s="6" t="inlineStr">
        <is>
          <t>ENQ3</t>
        </is>
      </c>
      <c r="B55" s="6" t="inlineStr">
        <is>
          <t>O INSS do sócio (11% sobre o pró-labore a mais, dentro do teto) é custo do caminho do fator R; o IRRF não entra.</t>
        </is>
      </c>
    </row>
    <row r="56">
      <c r="A56" s="6" t="inlineStr">
        <is>
          <t>ENQ4</t>
        </is>
      </c>
      <c r="B56" s="6" t="inlineStr">
        <is>
          <t>Os caminhos são alternativas: o DAS de cada um é calculado como se a empresa seguisse só aquele caminho.</t>
        </is>
      </c>
    </row>
    <row r="57">
      <c r="A57" s="6" t="inlineStr">
        <is>
          <t>ENQ4</t>
        </is>
      </c>
      <c r="B57" s="6" t="inlineStr">
        <is>
          <t>Receita no Anexo III só vale se a empresa exerce de fato a atividade, tem o CNAE no cadastro e emite a nota com ela (LC 123/2006, art. 18, §§ 4º e 5º-B). O motor só mostra o efeito no imposto; a decisão é do contador.</t>
        </is>
      </c>
    </row>
    <row r="58">
      <c r="A58" s="6" t="inlineStr">
        <is>
          <t>ENQ4</t>
        </is>
      </c>
      <c r="B58" s="6" t="inlineStr">
        <is>
          <t>O INSS do sócio (11% sobre o pró-labore a mais, dentro do teto) é custo do caminho do fator R; o IRRF não entra.</t>
        </is>
      </c>
    </row>
    <row r="59">
      <c r="A59" s="6" t="inlineStr">
        <is>
          <t>ENQ5</t>
        </is>
      </c>
      <c r="B59" s="6" t="inlineStr">
        <is>
          <t>Os caminhos são alternativas: o DAS de cada um é calculado como se a empresa seguisse só aquele caminho.</t>
        </is>
      </c>
    </row>
    <row r="60">
      <c r="A60" s="6" t="inlineStr">
        <is>
          <t>ENQ5</t>
        </is>
      </c>
      <c r="B60" s="6" t="inlineStr">
        <is>
          <t>Receita no Anexo III só vale se a empresa exerce de fato a atividade, tem o CNAE no cadastro e emite a nota com ela (LC 123/2006, art. 18, §§ 4º e 5º-B). O motor só mostra o efeito no imposto; a decisão é do contador.</t>
        </is>
      </c>
    </row>
    <row r="61">
      <c r="A61" s="6" t="inlineStr">
        <is>
          <t>ENQ5</t>
        </is>
      </c>
      <c r="B61" s="6" t="inlineStr">
        <is>
          <t>O INSS do sócio (11% sobre o pró-labore a mais, dentro do teto) é custo do caminho do fator R; o IRRF não entra.</t>
        </is>
      </c>
    </row>
    <row r="62">
      <c r="A62" s="6" t="inlineStr">
        <is>
          <t>ENQ6</t>
        </is>
      </c>
      <c r="B62" s="6" t="inlineStr">
        <is>
          <t>Os caminhos são alternativas: o DAS de cada um é calculado como se a empresa seguisse só aquele caminho.</t>
        </is>
      </c>
    </row>
    <row r="63">
      <c r="A63" s="6" t="inlineStr">
        <is>
          <t>ENQ6</t>
        </is>
      </c>
      <c r="B63" s="6" t="inlineStr">
        <is>
          <t>Receita no Anexo III só vale se a empresa exerce de fato a atividade, tem o CNAE no cadastro e emite a nota com ela (LC 123/2006, art. 18, §§ 4º e 5º-B). O motor só mostra o efeito no imposto; a decisão é do contador.</t>
        </is>
      </c>
    </row>
    <row r="64">
      <c r="A64" s="6" t="inlineStr">
        <is>
          <t>ENQ6</t>
        </is>
      </c>
      <c r="B64" s="6" t="inlineStr">
        <is>
          <t>O INSS do sócio (11% sobre o pró-labore a mais, dentro do teto) é custo do caminho do fator R; o IRRF não entra.</t>
        </is>
      </c>
    </row>
    <row r="65">
      <c r="A65" s="6" t="inlineStr">
        <is>
          <t>ADV1-SN</t>
        </is>
      </c>
      <c r="B65" s="6" t="inlineStr">
        <is>
          <t>Sociedade de profissionais com ISS fixo: no Simples Nacional o ISS é calculado sobre a receita e vai no DAS; o ISS fixo da sociedade uniprofissional não vale para o optante. A exceção legal é o escritório de serviços contábeis, que pode recolher o ISS fixo ao Município se a lei municipal permitir (LC 123/2006, art. 18, § 22-A): para esse caso (atividade do Anexo III), marque "recolhe o ISS fixo também no Simples".</t>
        </is>
      </c>
    </row>
    <row r="66">
      <c r="A66" s="6" t="inlineStr">
        <is>
          <t>ADV1-SN</t>
        </is>
      </c>
      <c r="B66" s="6" t="inlineStr">
        <is>
          <t>Estimativa com faturamento mensal constante; o DAS real varia mês a mês com o RBT12.</t>
        </is>
      </c>
    </row>
    <row r="67">
      <c r="A67" s="6" t="inlineStr">
        <is>
          <t>ADV1-LP</t>
        </is>
      </c>
      <c r="B67" s="6" t="inlineStr">
        <is>
          <t>ISS fixo: vale para a sociedade uniprofissional que atende às condições da lei do município (profissionais habilitados, responsabilidade pessoal e sem caráter empresarial), e o valor anual por profissional é o do município. Confirme o enquadramento e o valor com a prefeitura. O ISS fixo é devido mesmo que a receita varie.</t>
        </is>
      </c>
    </row>
    <row r="68">
      <c r="A68" s="6" t="inlineStr">
        <is>
          <t>ADV1-LR</t>
        </is>
      </c>
      <c r="B68" s="6" t="inlineStr">
        <is>
          <t>ISS fixo: vale para a sociedade uniprofissional que atende às condições da lei do município (profissionais habilitados, responsabilidade pessoal e sem caráter empresarial), e o valor anual por profissional é o do município. Confirme o enquadramento e o valor com a prefeitura. O ISS fixo é devido mesmo que a receita varie.</t>
        </is>
      </c>
    </row>
    <row r="69">
      <c r="A69" s="6" t="inlineStr">
        <is>
          <t>ADV1-LR</t>
        </is>
      </c>
      <c r="B69" s="6" t="inlineStr">
        <is>
          <t>Estimativa gerencial: considera todo o estoque comprado como vendido no ano e não detalha adições/exclusões do LALUR além das informadas.</t>
        </is>
      </c>
    </row>
    <row r="70">
      <c r="A70" s="6" t="inlineStr">
        <is>
          <t>CONT1-SN</t>
        </is>
      </c>
      <c r="B70" s="6" t="inlineStr">
        <is>
          <t>ISS fixo do escritório de serviços contábeis: o DAS não inclui o ISS e o imposto é pago em valor fixo diretamente ao Município, conforme a lei municipal (Res. CGSN 140/2018, art. 34). Se o Município não autorizar esse recolhimento, o ISS vai no DAS pela receita (art. 25, § 11): desmarque a opção. Informe o ISS fixo no PGDAS-D e confirme o valor e as condições com a prefeitura.</t>
        </is>
      </c>
    </row>
    <row r="71">
      <c r="A71" s="6" t="inlineStr">
        <is>
          <t>CONT1-SN</t>
        </is>
      </c>
      <c r="B71" s="6" t="inlineStr">
        <is>
          <t>Estimativa com faturamento mensal constante; o DAS real varia mês a mês com o RBT12.</t>
        </is>
      </c>
    </row>
    <row r="72">
      <c r="A72" s="6" t="inlineStr">
        <is>
          <t>CONT1-LP</t>
        </is>
      </c>
      <c r="B72" s="6" t="inlineStr">
        <is>
          <t>ISS fixo: vale para a sociedade uniprofissional que atende às condições da lei do município (profissionais habilitados, responsabilidade pessoal e sem caráter empresarial), e o valor anual por profissional é o do município. Confirme o enquadramento e o valor com a prefeitura. O ISS fixo é devido mesmo que a receita varie.</t>
        </is>
      </c>
    </row>
    <row r="73">
      <c r="A73" s="6" t="inlineStr">
        <is>
          <t>CONT1-LR</t>
        </is>
      </c>
      <c r="B73" s="6" t="inlineStr">
        <is>
          <t>ISS fixo: vale para a sociedade uniprofissional que atende às condições da lei do município (profissionais habilitados, responsabilidade pessoal e sem caráter empresarial), e o valor anual por profissional é o do município. Confirme o enquadramento e o valor com a prefeitura. O ISS fixo é devido mesmo que a receita varie.</t>
        </is>
      </c>
    </row>
    <row r="74">
      <c r="A74" s="6" t="inlineStr">
        <is>
          <t>CONT1-LR</t>
        </is>
      </c>
      <c r="B74" s="6" t="inlineStr">
        <is>
          <t>Estimativa gerencial: considera todo o estoque comprado como vendido no ano e não detalha adições/exclusões do LALUR além das informadas.</t>
        </is>
      </c>
    </row>
    <row r="75">
      <c r="A75" s="6" t="inlineStr">
        <is>
          <t>HOSP1-SN</t>
        </is>
      </c>
      <c r="B75" s="6" t="inlineStr">
        <is>
          <t>Folha do fator R (LC 123/2006, art. 18, §§ 24 a 26; Res. CGSN 140/2018, art. 26): remunerações pagas a pessoas físicas (com o 13º salário), pró-labore e FGTS; não entram aluguéis nem distribuição de lucros. A contribuição patronal só entra se for recolhida fora do DAS, o que não é o caso dos Anexos III e V. Se o valor apurado no eSocial ou no PGDAS-D for diferente, informe-o em "Folha do fator R informada".</t>
        </is>
      </c>
    </row>
    <row r="76">
      <c r="A76" s="6" t="inlineStr">
        <is>
          <t>HOSP1-SN</t>
        </is>
      </c>
      <c r="B76" s="6" t="inlineStr">
        <is>
          <t>A presunção de serviços hospitalares é do Lucro Presumido e não muda o cálculo do Simples Nacional.</t>
        </is>
      </c>
    </row>
    <row r="77">
      <c r="A77" s="6" t="inlineStr">
        <is>
          <t>HOSP1-SN</t>
        </is>
      </c>
      <c r="B77" s="6" t="inlineStr">
        <is>
          <t>Estimativa com faturamento mensal constante; o DAS real varia mês a mês com o RBT12.</t>
        </is>
      </c>
    </row>
    <row r="78">
      <c r="A78" s="6" t="inlineStr">
        <is>
          <t>HOSP1-LP</t>
        </is>
      </c>
      <c r="B78" s="6" t="inlineStr">
        <is>
          <t>Serviços hospitalares (IRPJ 8% e CSLL 12%): a presunção reduzida só vale para quem presta serviços hospitalares e afins na forma da lei (Lei 9.249/1995, art. 15, § 1º, III, a), em geral por sociedade empresária que atende às exigências da Anvisa. Consultório e clínica sem esse enquadramento usam 32%. Confirme o enquadramento antes de adotar o percentual.</t>
        </is>
      </c>
    </row>
    <row r="79">
      <c r="A79" s="6" t="inlineStr">
        <is>
          <t>HOSP1-LR</t>
        </is>
      </c>
      <c r="B79" s="6" t="inlineStr">
        <is>
          <t>Estimativa gerencial: considera todo o estoque comprado como vendido no ano e não detalha adições/exclusões do LALUR além das informadas.</t>
        </is>
      </c>
    </row>
    <row r="80">
      <c r="A80" s="6" t="inlineStr">
        <is>
          <t>RG1-LP</t>
        </is>
      </c>
      <c r="B80" s="6" t="inlineStr">
        <is>
          <t>2027: o regime normal paga CBS e IBS (não cumulativos, com crédito sobre as compras) no lugar de PIS e Cofins. Alíquotas de referência estimadas: CBS 8,8% e IBS 17,7% (a de 2027 depende de TCU e Senado). Modelo: vendas sem tributos mantidas, créditos integrais das compras informadas (fornecedores do Simples geram crédito menor) e Imposto Seletivo fora. ICMS e ISS seguem a transição do ADCT, art. 128.</t>
        </is>
      </c>
    </row>
    <row r="81">
      <c r="A81" s="6" t="inlineStr">
        <is>
          <t>RG1-LP</t>
        </is>
      </c>
      <c r="B81" s="6" t="inlineStr">
        <is>
          <t>IRPJ e CSLL calculados sobre a receita sem PIS/Cofins, CBS e IBS. É uma tese (IBS e CBS não compõem a receita bruta, como o IPI destacado): a LC 214/2025, art. 12, § 2º, I, tira o IBS e a CBS só da base do próprio IBS e da CBS, e não há decisão judicial sobre o Lucro Presumido. Confirme com o contador.</t>
        </is>
      </c>
    </row>
    <row r="82">
      <c r="A82" s="6" t="inlineStr">
        <is>
          <t>RG1-LR</t>
        </is>
      </c>
      <c r="B82" s="6" t="inlineStr">
        <is>
          <t>2027: o regime normal paga CBS e IBS (não cumulativos, com crédito sobre as compras) no lugar de PIS e Cofins. Alíquotas de referência estimadas: CBS 8,8% e IBS 17,7% (a de 2027 depende de TCU e Senado). Modelo: vendas sem tributos mantidas, créditos integrais das compras informadas (fornecedores do Simples geram crédito menor) e Imposto Seletivo fora. ICMS e ISS seguem a transição do ADCT, art. 128.</t>
        </is>
      </c>
    </row>
    <row r="83">
      <c r="A83" s="6" t="inlineStr">
        <is>
          <t>RG1-LR</t>
        </is>
      </c>
      <c r="B83" s="6" t="inlineStr">
        <is>
          <t>IRPJ e CSLL calculados sobre a receita sem PIS/Cofins, CBS e IBS. É uma tese (IBS e CBS não compõem a receita bruta, como o IPI destacado): a LC 214/2025, art. 12, § 2º, I, tira o IBS e a CBS só da base do próprio IBS e da CBS, e não há decisão judicial sobre o Lucro Presumido. Confirme com o contador.</t>
        </is>
      </c>
    </row>
    <row r="84">
      <c r="A84" s="6" t="inlineStr">
        <is>
          <t>RG1-LR</t>
        </is>
      </c>
      <c r="B84" s="6" t="inlineStr">
        <is>
          <t>Estimativa gerencial: considera todo o estoque comprado como vendido no ano e não detalha adições/exclusões do LALUR além das informadas.</t>
        </is>
      </c>
    </row>
    <row r="85">
      <c r="A85" s="6" t="inlineStr">
        <is>
          <t>RG2-LP</t>
        </is>
      </c>
      <c r="B85" s="6" t="inlineStr">
        <is>
          <t>2027: o regime normal paga CBS e IBS (não cumulativos, com crédito sobre as compras) no lugar de PIS e Cofins. Alíquotas de referência estimadas: CBS 8,8% e IBS 17,7% (a de 2027 depende de TCU e Senado). Modelo: vendas sem tributos mantidas, créditos integrais das compras informadas (fornecedores do Simples geram crédito menor) e Imposto Seletivo fora. ICMS e ISS seguem a transição do ADCT, art. 128.</t>
        </is>
      </c>
    </row>
    <row r="86">
      <c r="A86" s="6" t="inlineStr">
        <is>
          <t>RG2-LP</t>
        </is>
      </c>
      <c r="B86" s="6" t="inlineStr">
        <is>
          <t>IRPJ e CSLL calculados sobre a receita sem PIS/Cofins, CBS e IBS. É uma tese (IBS e CBS não compõem a receita bruta, como o IPI destacado): a LC 214/2025, art. 12, § 2º, I, tira o IBS e a CBS só da base do próprio IBS e da CBS, e não há decisão judicial sobre o Lucro Presumido. Confirme com o contador.</t>
        </is>
      </c>
    </row>
    <row r="87">
      <c r="A87" s="6" t="inlineStr">
        <is>
          <t>RG2-LR</t>
        </is>
      </c>
      <c r="B87" s="6" t="inlineStr">
        <is>
          <t>2027: o regime normal paga CBS e IBS (não cumulativos, com crédito sobre as compras) no lugar de PIS e Cofins. Alíquotas de referência estimadas: CBS 8,8% e IBS 17,7% (a de 2027 depende de TCU e Senado). Modelo: vendas sem tributos mantidas, créditos integrais das compras informadas (fornecedores do Simples geram crédito menor) e Imposto Seletivo fora. ICMS e ISS seguem a transição do ADCT, art. 128.</t>
        </is>
      </c>
    </row>
    <row r="88">
      <c r="A88" s="6" t="inlineStr">
        <is>
          <t>RG2-LR</t>
        </is>
      </c>
      <c r="B88" s="6" t="inlineStr">
        <is>
          <t>IRPJ e CSLL calculados sobre a receita sem PIS/Cofins, CBS e IBS. É uma tese (IBS e CBS não compõem a receita bruta, como o IPI destacado): a LC 214/2025, art. 12, § 2º, I, tira o IBS e a CBS só da base do próprio IBS e da CBS, e não há decisão judicial sobre o Lucro Presumido. Confirme com o contador.</t>
        </is>
      </c>
    </row>
    <row r="89">
      <c r="A89" s="6" t="inlineStr">
        <is>
          <t>RG2-LR</t>
        </is>
      </c>
      <c r="B89" s="6" t="inlineStr">
        <is>
          <t>Estimativa gerencial: considera todo o estoque comprado como vendido no ano e não detalha adições/exclusões do LALUR além das informadas.</t>
        </is>
      </c>
    </row>
    <row r="90">
      <c r="A90" s="6" t="inlineStr">
        <is>
          <t>RG3-LP</t>
        </is>
      </c>
      <c r="B90" s="6" t="inlineStr">
        <is>
          <t>2030: o regime normal paga CBS e IBS (não cumulativos, com crédito sobre as compras) no lugar de PIS e Cofins. Alíquotas de referência estimadas: CBS 8,8% e IBS 17,7% (a de 2027 depende de TCU e Senado). Modelo: vendas sem tributos mantidas, créditos integrais das compras informadas (fornecedores do Simples geram crédito menor) e Imposto Seletivo fora. ICMS e ISS seguem a transição do ADCT, art. 128.</t>
        </is>
      </c>
    </row>
    <row r="91">
      <c r="A91" s="6" t="inlineStr">
        <is>
          <t>RG3-LP</t>
        </is>
      </c>
      <c r="B91" s="6" t="inlineStr">
        <is>
          <t>IRPJ e CSLL calculados sobre a receita sem PIS/Cofins, CBS e IBS. É uma tese (IBS e CBS não compõem a receita bruta, como o IPI destacado): a LC 214/2025, art. 12, § 2º, I, tira o IBS e a CBS só da base do próprio IBS e da CBS, e não há decisão judicial sobre o Lucro Presumido. Confirme com o contador.</t>
        </is>
      </c>
    </row>
    <row r="92">
      <c r="A92" s="6" t="inlineStr">
        <is>
          <t>RG3-LR</t>
        </is>
      </c>
      <c r="B92" s="6" t="inlineStr">
        <is>
          <t>2030: o regime normal paga CBS e IBS (não cumulativos, com crédito sobre as compras) no lugar de PIS e Cofins. Alíquotas de referência estimadas: CBS 8,8% e IBS 17,7% (a de 2027 depende de TCU e Senado). Modelo: vendas sem tributos mantidas, créditos integrais das compras informadas (fornecedores do Simples geram crédito menor) e Imposto Seletivo fora. ICMS e ISS seguem a transição do ADCT, art. 128.</t>
        </is>
      </c>
    </row>
    <row r="93">
      <c r="A93" s="6" t="inlineStr">
        <is>
          <t>RG3-LR</t>
        </is>
      </c>
      <c r="B93" s="6" t="inlineStr">
        <is>
          <t>IRPJ e CSLL calculados sobre a receita sem PIS/Cofins, CBS e IBS. É uma tese (IBS e CBS não compõem a receita bruta, como o IPI destacado): a LC 214/2025, art. 12, § 2º, I, tira o IBS e a CBS só da base do próprio IBS e da CBS, e não há decisão judicial sobre o Lucro Presumido. Confirme com o contador.</t>
        </is>
      </c>
    </row>
    <row r="94">
      <c r="A94" s="6" t="inlineStr">
        <is>
          <t>RG3-LR</t>
        </is>
      </c>
      <c r="B94" s="6" t="inlineStr">
        <is>
          <t>Estimativa gerencial: considera todo o estoque comprado como vendido no ano e não detalha adições/exclusões do LALUR além das informadas.</t>
        </is>
      </c>
    </row>
    <row r="95">
      <c r="A95" s="6" t="inlineStr">
        <is>
          <t>RG4-LP</t>
        </is>
      </c>
      <c r="B95" s="6" t="inlineStr">
        <is>
          <t>2027: o regime normal paga CBS e IBS (não cumulativos, com crédito sobre as compras) no lugar de PIS e Cofins. Alíquotas de referência estimadas: CBS 8,8% e IBS 17,7% (a de 2027 depende de TCU e Senado). Modelo: vendas sem tributos mantidas, créditos integrais das compras informadas (fornecedores do Simples geram crédito menor) e Imposto Seletivo fora. ICMS e ISS seguem a transição do ADCT, art. 128.</t>
        </is>
      </c>
    </row>
    <row r="96">
      <c r="A96" s="6" t="inlineStr">
        <is>
          <t>RG4-LP</t>
        </is>
      </c>
      <c r="B96" s="6" t="inlineStr">
        <is>
          <t>IRPJ e CSLL calculados sobre a receita sem PIS/Cofins, CBS e IBS. É uma tese (IBS e CBS não compõem a receita bruta, como o IPI destacado): a LC 214/2025, art. 12, § 2º, I, tira o IBS e a CBS só da base do próprio IBS e da CBS, e não há decisão judicial sobre o Lucro Presumido. Confirme com o contador.</t>
        </is>
      </c>
    </row>
    <row r="97">
      <c r="A97" s="6" t="inlineStr">
        <is>
          <t>RG4-LP</t>
        </is>
      </c>
      <c r="B97" s="6" t="inlineStr">
        <is>
          <t>Redução de 30% nas alíquotas de IBS e CBS aplicada (LC 214/2025, art. 127 para as 18 profissões regulamentadas, art. 128 e seguintes para os demais setores); vale só para o que a lei lista e, para sociedades, se cumpridos os requisitos do art. 127, § 1º, II. Confirme o enquadramento.</t>
        </is>
      </c>
    </row>
    <row r="98">
      <c r="A98" s="6" t="inlineStr">
        <is>
          <t>RG4-LR</t>
        </is>
      </c>
      <c r="B98" s="6" t="inlineStr">
        <is>
          <t>2027: o regime normal paga CBS e IBS (não cumulativos, com crédito sobre as compras) no lugar de PIS e Cofins. Alíquotas de referência estimadas: CBS 8,8% e IBS 17,7% (a de 2027 depende de TCU e Senado). Modelo: vendas sem tributos mantidas, créditos integrais das compras informadas (fornecedores do Simples geram crédito menor) e Imposto Seletivo fora. ICMS e ISS seguem a transição do ADCT, art. 128.</t>
        </is>
      </c>
    </row>
    <row r="99">
      <c r="A99" s="6" t="inlineStr">
        <is>
          <t>RG4-LR</t>
        </is>
      </c>
      <c r="B99" s="6" t="inlineStr">
        <is>
          <t>IRPJ e CSLL calculados sobre a receita sem PIS/Cofins, CBS e IBS. É uma tese (IBS e CBS não compõem a receita bruta, como o IPI destacado): a LC 214/2025, art. 12, § 2º, I, tira o IBS e a CBS só da base do próprio IBS e da CBS, e não há decisão judicial sobre o Lucro Presumido. Confirme com o contador.</t>
        </is>
      </c>
    </row>
    <row r="100">
      <c r="A100" s="6" t="inlineStr">
        <is>
          <t>RG4-LR</t>
        </is>
      </c>
      <c r="B100" s="6" t="inlineStr">
        <is>
          <t>Redução de 30% nas alíquotas de IBS e CBS aplicada (LC 214/2025, art. 127 para as 18 profissões regulamentadas, art. 128 e seguintes para os demais setores); vale só para o que a lei lista e, para sociedades, se cumpridos os requisitos do art. 127, § 1º, II. Confirme o enquadramento.</t>
        </is>
      </c>
    </row>
    <row r="101">
      <c r="A101" s="6" t="inlineStr">
        <is>
          <t>RG4-LR</t>
        </is>
      </c>
      <c r="B101" s="6" t="inlineStr">
        <is>
          <t>Estimativa gerencial: considera todo o estoque comprado como vendido no ano e não detalha adições/exclusões do LALUR além das informadas.</t>
        </is>
      </c>
    </row>
    <row r="102">
      <c r="A102" s="6" t="inlineStr">
        <is>
          <t>MIX1-SN</t>
        </is>
      </c>
      <c r="B102" s="6" t="inlineStr">
        <is>
          <t>Folha do fator R (LC 123/2006, art. 18, §§ 24 a 26; Res. CGSN 140/2018, art. 26): remunerações pagas a pessoas físicas (com o 13º salário), pró-labore e FGTS; não entram aluguéis nem distribuição de lucros. A contribuição patronal só entra se for recolhida fora do DAS, o que não é o caso dos Anexos III e V. Se o valor apurado no eSocial ou no PGDAS-D for diferente, informe-o em "Folha do fator R informada".</t>
        </is>
      </c>
    </row>
    <row r="103">
      <c r="A103" s="6" t="inlineStr">
        <is>
          <t>MIX1-SN</t>
        </is>
      </c>
      <c r="B103" s="6" t="inlineStr">
        <is>
          <t>Fator R abaixo de 28%: acrescentar cerca de R$ 15.400,00/mês de pró-labore levaria ao Anexo III. Compare o custo do INSS sobre esse pró-labore.</t>
        </is>
      </c>
    </row>
    <row r="104">
      <c r="A104" s="6" t="inlineStr">
        <is>
          <t>MIX1-SN</t>
        </is>
      </c>
      <c r="B104" s="6" t="inlineStr">
        <is>
          <t>Receita segregada por atividade: Anexo I (R$ 1.200.000,00), Anexo V (R$ 600.000,00). Cada atividade tributa no Anexo da atividade realmente exercida, com a faixa pela receita total. Só vale se a empresa exerce de fato cada atividade, tem o CNAE no cadastro e emite a nota com a atividade correspondente, separando as receitas no PGDAS-D (LC 123/2006, art. 18, §§ 4º e 5º-B). Não basta incluir o CNAE: a Receita enquadra pela atividade realmente exercida.</t>
        </is>
      </c>
    </row>
    <row r="105">
      <c r="A105" s="6" t="inlineStr">
        <is>
          <t>MIX1-SN</t>
        </is>
      </c>
      <c r="B105" s="6" t="inlineStr">
        <is>
          <t>Estimativa com faturamento mensal constante; o DAS real varia mês a mês com o RBT12.</t>
        </is>
      </c>
    </row>
    <row r="106">
      <c r="A106" s="6" t="inlineStr">
        <is>
          <t>MIX1-LR</t>
        </is>
      </c>
      <c r="B106" s="6" t="inlineStr">
        <is>
          <t>Estimativa gerencial: considera todo o estoque comprado como vendido no ano e não detalha adições/exclusões do LALUR além das informadas.</t>
        </is>
      </c>
    </row>
    <row r="107">
      <c r="A107" s="6" t="inlineStr">
        <is>
          <t>MIX2-SN</t>
        </is>
      </c>
      <c r="B107" s="6" t="inlineStr">
        <is>
          <t>Receita segregada por atividade: Anexo IV (R$ 600.000,00), Anexo I (R$ 300.000,00). Cada atividade tributa no Anexo da atividade realmente exercida, com a faixa pela receita total. Só vale se a empresa exerce de fato cada atividade, tem o CNAE no cadastro e emite a nota com a atividade correspondente, separando as receitas no PGDAS-D (LC 123/2006, art. 18, §§ 4º e 5º-B). Não basta incluir o CNAE: a Receita enquadra pela atividade realmente exercida.</t>
        </is>
      </c>
    </row>
    <row r="108">
      <c r="A108" s="6" t="inlineStr">
        <is>
          <t>MIX2-SN</t>
        </is>
      </c>
      <c r="B108" s="6" t="inlineStr">
        <is>
          <t>Atividade do Anexo IV junto com outras: a CPP patronal sai do DAS só na atividade do Anexo IV, mas o texto que reparte a folha entre as atividades não foi lido (portais oficiais indisponíveis em 27/10/2026). O Tolaris estima a CPP fora do DAS na proporção da receita do Anexo IV. Confirme com o contador como a folha é apropriada.</t>
        </is>
      </c>
    </row>
    <row r="109">
      <c r="A109" s="6" t="inlineStr">
        <is>
          <t>MIX2-SN</t>
        </is>
      </c>
      <c r="B109" s="6" t="inlineStr">
        <is>
          <t>Estimativa com faturamento mensal constante; o DAS real varia mês a mês com o RBT12.</t>
        </is>
      </c>
    </row>
    <row r="110">
      <c r="A110" s="6" t="inlineStr">
        <is>
          <t>MIX2-LR</t>
        </is>
      </c>
      <c r="B110" s="6" t="inlineStr">
        <is>
          <t>Estimativa gerencial: considera todo o estoque comprado como vendido no ano e não detalha adições/exclusões do LALUR além das informadas.</t>
        </is>
      </c>
    </row>
    <row r="111">
      <c r="A111" s="6" t="inlineStr">
        <is>
          <t>MIX3-SN</t>
        </is>
      </c>
      <c r="B111" s="6" t="inlineStr">
        <is>
          <t>Folha do fator R (LC 123/2006, art. 18, §§ 24 a 26; Res. CGSN 140/2018, art. 26): remunerações pagas a pessoas físicas (com o 13º salário), pró-labore e FGTS; não entram aluguéis nem distribuição de lucros. A contribuição patronal só entra se for recolhida fora do DAS, o que não é o caso dos Anexos III e V. Se o valor apurado no eSocial ou no PGDAS-D for diferente, informe-o em "Folha do fator R informada".</t>
        </is>
      </c>
    </row>
    <row r="112">
      <c r="A112" s="6" t="inlineStr">
        <is>
          <t>MIX3-SN</t>
        </is>
      </c>
      <c r="B112" s="6" t="inlineStr">
        <is>
          <t>Fator R abaixo de 28%: acrescentar cerca de R$ 15.400,00/mês de pró-labore levaria ao Anexo III. Compare o custo do INSS sobre esse pró-labore.</t>
        </is>
      </c>
    </row>
    <row r="113">
      <c r="A113" s="6" t="inlineStr">
        <is>
          <t>MIX3-SN</t>
        </is>
      </c>
      <c r="B113" s="6" t="inlineStr">
        <is>
          <t>Receita segregada por atividade: Anexo I (R$ 1.200.000,00), Anexo V (R$ 600.000,00). Cada atividade tributa no Anexo da atividade realmente exercida, com a faixa pela receita total. Só vale se a empresa exerce de fato cada atividade, tem o CNAE no cadastro e emite a nota com a atividade correspondente, separando as receitas no PGDAS-D (LC 123/2006, art. 18, §§ 4º e 5º-B). Não basta incluir o CNAE: a Receita enquadra pela atividade realmente exercida.</t>
        </is>
      </c>
    </row>
    <row r="114">
      <c r="A114" s="6" t="inlineStr">
        <is>
          <t>MIX3-SN</t>
        </is>
      </c>
      <c r="B114" s="6" t="inlineStr">
        <is>
          <t>Tabelas de 2027 em diante (Res. CGSN 190/2026): CBS e IBS ocupam, em cada faixa, a fatia que era de PIS, Cofins, ICMS e ISS (IPI da indústria permanece), em transição até 2033; o teto do ISS no DAS cai de 5% (2027-28) a 3% (2032). A RBT12 passa a contar os 12 meses anteriores ao mês anterior ao da apuração. A partir de 2027 a empresa pode recolher IBS e CBS pelo regime regular (veja o Simples na Reforma). Texto lido nos autógrafos das leis; confirme na versão publicada.</t>
        </is>
      </c>
    </row>
    <row r="115">
      <c r="A115" s="6" t="inlineStr">
        <is>
          <t>MIX3-SN</t>
        </is>
      </c>
      <c r="B115" s="6" t="inlineStr">
        <is>
          <t>Estimativa com faturamento mensal constante; o DAS real varia mês a mês com o RBT12.</t>
        </is>
      </c>
    </row>
    <row r="116">
      <c r="A116" s="6" t="inlineStr">
        <is>
          <t>MIX3-LP</t>
        </is>
      </c>
      <c r="B116" s="6" t="inlineStr">
        <is>
          <t>2027: o regime normal paga CBS e IBS (não cumulativos, com crédito sobre as compras) no lugar de PIS e Cofins. Alíquotas de referência estimadas: CBS 8,8% e IBS 17,7% (a de 2027 depende de TCU e Senado). Modelo: vendas sem tributos mantidas, créditos integrais das compras informadas (fornecedores do Simples geram crédito menor) e Imposto Seletivo fora. ICMS e ISS seguem a transição do ADCT, art. 128.</t>
        </is>
      </c>
    </row>
    <row r="117">
      <c r="A117" s="6" t="inlineStr">
        <is>
          <t>MIX3-LP</t>
        </is>
      </c>
      <c r="B117" s="6" t="inlineStr">
        <is>
          <t>IRPJ e CSLL calculados sobre a receita sem PIS/Cofins, CBS e IBS. É uma tese (IBS e CBS não compõem a receita bruta, como o IPI destacado): a LC 214/2025, art. 12, § 2º, I, tira o IBS e a CBS só da base do próprio IBS e da CBS, e não há decisão judicial sobre o Lucro Presumido. Confirme com o contador.</t>
        </is>
      </c>
    </row>
    <row r="118">
      <c r="A118" s="6" t="inlineStr">
        <is>
          <t>MIX3-LR</t>
        </is>
      </c>
      <c r="B118" s="6" t="inlineStr">
        <is>
          <t>2027: o regime normal paga CBS e IBS (não cumulativos, com crédito sobre as compras) no lugar de PIS e Cofins. Alíquotas de referência estimadas: CBS 8,8% e IBS 17,7% (a de 2027 depende de TCU e Senado). Modelo: vendas sem tributos mantidas, créditos integrais das compras informadas (fornecedores do Simples geram crédito menor) e Imposto Seletivo fora. ICMS e ISS seguem a transição do ADCT, art. 128.</t>
        </is>
      </c>
    </row>
    <row r="119">
      <c r="A119" s="6" t="inlineStr">
        <is>
          <t>MIX3-LR</t>
        </is>
      </c>
      <c r="B119" s="6" t="inlineStr">
        <is>
          <t>IRPJ e CSLL calculados sobre a receita sem PIS/Cofins, CBS e IBS. É uma tese (IBS e CBS não compõem a receita bruta, como o IPI destacado): a LC 214/2025, art. 12, § 2º, I, tira o IBS e a CBS só da base do próprio IBS e da CBS, e não há decisão judicial sobre o Lucro Presumido. Confirme com o contador.</t>
        </is>
      </c>
    </row>
    <row r="120">
      <c r="A120" s="6" t="inlineStr">
        <is>
          <t>MIX3-LR</t>
        </is>
      </c>
      <c r="B120" s="6" t="inlineStr">
        <is>
          <t>Estimativa gerencial: considera todo o estoque comprado como vendido no ano e não detalha adições/exclusões do LALUR além das informadas.</t>
        </is>
      </c>
    </row>
    <row r="121">
      <c r="A121" s="6" t="inlineStr">
        <is>
          <t>SR4-2028</t>
        </is>
      </c>
      <c r="B121"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122">
      <c r="A122" s="6" t="inlineStr">
        <is>
          <t>SR4-2028</t>
        </is>
      </c>
      <c r="B122"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123">
      <c r="A123" s="6" t="inlineStr">
        <is>
          <t>SR4-2029</t>
        </is>
      </c>
      <c r="B123"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124">
      <c r="A124" s="6" t="inlineStr">
        <is>
          <t>SR4-2029</t>
        </is>
      </c>
      <c r="B124"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125">
      <c r="A125" s="6" t="inlineStr">
        <is>
          <t>SR4-2030</t>
        </is>
      </c>
      <c r="B125"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126">
      <c r="A126" s="6" t="inlineStr">
        <is>
          <t>SR4-2030</t>
        </is>
      </c>
      <c r="B126"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127">
      <c r="A127" s="6" t="inlineStr">
        <is>
          <t>SR4-2031</t>
        </is>
      </c>
      <c r="B127"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128">
      <c r="A128" s="6" t="inlineStr">
        <is>
          <t>SR4-2031</t>
        </is>
      </c>
      <c r="B128"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129">
      <c r="A129" s="6" t="inlineStr">
        <is>
          <t>SR4-2032</t>
        </is>
      </c>
      <c r="B129"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130">
      <c r="A130" s="6" t="inlineStr">
        <is>
          <t>SR4-2032</t>
        </is>
      </c>
      <c r="B130"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131">
      <c r="A131" s="6" t="inlineStr">
        <is>
          <t>SR5-2029</t>
        </is>
      </c>
      <c r="B131"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132">
      <c r="A132" s="6" t="inlineStr">
        <is>
          <t>SR5-2029</t>
        </is>
      </c>
      <c r="B132"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133">
      <c r="A133" s="6" t="inlineStr">
        <is>
          <t>SR5-2031</t>
        </is>
      </c>
      <c r="B133"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134">
      <c r="A134" s="6" t="inlineStr">
        <is>
          <t>SR5-2031</t>
        </is>
      </c>
      <c r="B134"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135">
      <c r="A135" s="6" t="inlineStr">
        <is>
          <t>SR6-2028</t>
        </is>
      </c>
      <c r="B135"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136">
      <c r="A136" s="6" t="inlineStr">
        <is>
          <t>SR6-2028</t>
        </is>
      </c>
      <c r="B136"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137">
      <c r="A137" s="6" t="inlineStr">
        <is>
          <t>SR6-2029</t>
        </is>
      </c>
      <c r="B137"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138">
      <c r="A138" s="6" t="inlineStr">
        <is>
          <t>SR6-2029</t>
        </is>
      </c>
      <c r="B138"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139">
      <c r="A139" s="6" t="inlineStr">
        <is>
          <t>SR6-2032</t>
        </is>
      </c>
      <c r="B139"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140">
      <c r="A140" s="6" t="inlineStr">
        <is>
          <t>SR6-2032</t>
        </is>
      </c>
      <c r="B140"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141">
      <c r="A141" s="6" t="inlineStr">
        <is>
          <t>AU1-PF</t>
        </is>
      </c>
      <c r="B141" s="6" t="inlineStr">
        <is>
          <t>Quem presta serviço a empresas tem 11% de INSS retido e a empresa paga mais 20% (custo para o cliente).</t>
        </is>
      </c>
    </row>
    <row r="142">
      <c r="A142" s="6" t="inlineStr">
        <is>
          <t>AU1-MEI</t>
        </is>
      </c>
      <c r="B142" s="6" t="inlineStr">
        <is>
          <t>O lucro do MEI acima da parcela isenta (receita x 32% em serviços, 8% em comércio, ou o lucro escriturado) entra na declaração anual de IRPF.</t>
        </is>
      </c>
    </row>
    <row r="143">
      <c r="A143" s="6" t="inlineStr">
        <is>
          <t>AU1-SN</t>
        </is>
      </c>
      <c r="B143" s="6" t="inlineStr">
        <is>
          <t>Folha do fator R (LC 123/2006, art. 18, §§ 24 a 26; Res. CGSN 140/2018, art. 26): remunerações pagas a pessoas físicas (com o 13º salário), pró-labore e FGTS; não entram aluguéis nem distribuição de lucros. A contribuição patronal só entra se for recolhida fora do DAS, o que não é o caso dos Anexos III e V. Se o valor apurado no eSocial ou no PGDAS-D for diferente, informe-o em "Folha do fator R informada".</t>
        </is>
      </c>
    </row>
    <row r="144">
      <c r="A144" s="6" t="inlineStr">
        <is>
          <t>AU1-SN</t>
        </is>
      </c>
      <c r="B144" s="6" t="inlineStr">
        <is>
          <t>Estimativa com faturamento mensal constante; o DAS real varia mês a mês com o RBT12.</t>
        </is>
      </c>
    </row>
    <row r="145">
      <c r="A145" s="6" t="inlineStr">
        <is>
          <t>AU1-SN</t>
        </is>
      </c>
      <c r="B145" s="6" t="inlineStr">
        <is>
          <t>Comparados pró-labore mínimo e pró-labore para fator R de 28%; escolhido: Anexo III, pró-labore de R$ 1.680,01.</t>
        </is>
      </c>
    </row>
    <row r="146">
      <c r="A146" s="6" t="inlineStr">
        <is>
          <t>AU2-PF</t>
        </is>
      </c>
      <c r="B146" s="6" t="inlineStr">
        <is>
          <t>Livro-caixa só é dedutível para quem recebe de pessoas físicas e escritura as despesas; substitui o desconto simplificado quando for maior.</t>
        </is>
      </c>
    </row>
    <row r="147">
      <c r="A147" s="6" t="inlineStr">
        <is>
          <t>AU2-PF</t>
        </is>
      </c>
      <c r="B147" s="6" t="inlineStr">
        <is>
          <t>Quem presta serviço a empresas tem 11% de INSS retido e a empresa paga mais 20% (custo para o cliente).</t>
        </is>
      </c>
    </row>
    <row r="148">
      <c r="A148" s="6" t="inlineStr">
        <is>
          <t>AU2-SN</t>
        </is>
      </c>
      <c r="B148" s="6" t="inlineStr">
        <is>
          <t>Folha do fator R (LC 123/2006, art. 18, §§ 24 a 26; Res. CGSN 140/2018, art. 26): remunerações pagas a pessoas físicas (com o 13º salário), pró-labore e FGTS; não entram aluguéis nem distribuição de lucros. A contribuição patronal só entra se for recolhida fora do DAS, o que não é o caso dos Anexos III e V. Se o valor apurado no eSocial ou no PGDAS-D for diferente, informe-o em "Folha do fator R informada".</t>
        </is>
      </c>
    </row>
    <row r="149">
      <c r="A149" s="6" t="inlineStr">
        <is>
          <t>AU2-SN</t>
        </is>
      </c>
      <c r="B149" s="6" t="inlineStr">
        <is>
          <t>Estimativa com faturamento mensal constante; o DAS real varia mês a mês com o RBT12.</t>
        </is>
      </c>
    </row>
    <row r="150">
      <c r="A150" s="6" t="inlineStr">
        <is>
          <t>AU2-SN</t>
        </is>
      </c>
      <c r="B150" s="6" t="inlineStr">
        <is>
          <t>Comparados pró-labore mínimo e pró-labore para fator R de 28%; escolhido: Anexo III, pró-labore de R$ 4.200,01.</t>
        </is>
      </c>
    </row>
    <row r="151">
      <c r="A151" s="6" t="inlineStr">
        <is>
          <t>AU3-PF</t>
        </is>
      </c>
      <c r="B151" s="6" t="inlineStr">
        <is>
          <t>Quem presta serviço a empresas tem 11% de INSS retido e a empresa paga mais 20% (custo para o cliente).</t>
        </is>
      </c>
    </row>
    <row r="152">
      <c r="A152" s="6" t="inlineStr">
        <is>
          <t>AU3-SN</t>
        </is>
      </c>
      <c r="B152" s="6" t="inlineStr">
        <is>
          <t>Folha do fator R (LC 123/2006, art. 18, §§ 24 a 26; Res. CGSN 140/2018, art. 26): remunerações pagas a pessoas físicas (com o 13º salário), pró-labore e FGTS; não entram aluguéis nem distribuição de lucros. A contribuição patronal só entra se for recolhida fora do DAS, o que não é o caso dos Anexos III e V. Se o valor apurado no eSocial ou no PGDAS-D for diferente, informe-o em "Folha do fator R informada".</t>
        </is>
      </c>
    </row>
    <row r="153">
      <c r="A153" s="6" t="inlineStr">
        <is>
          <t>AU3-SN</t>
        </is>
      </c>
      <c r="B153" s="6" t="inlineStr">
        <is>
          <t>Estimativa com faturamento mensal constante; o DAS real varia mês a mês com o RBT12.</t>
        </is>
      </c>
    </row>
    <row r="154">
      <c r="A154" s="6" t="inlineStr">
        <is>
          <t>AU3-SN</t>
        </is>
      </c>
      <c r="B154" s="6" t="inlineStr">
        <is>
          <t>Comparados pró-labore mínimo e pró-labore para fator R de 28%; escolhido: Anexo III, pró-labore de R$ 11.200,01.</t>
        </is>
      </c>
    </row>
    <row r="155">
      <c r="A155" s="6" t="inlineStr">
        <is>
          <t>REC1</t>
        </is>
      </c>
      <c r="B155" s="6" t="inlineStr">
        <is>
          <t>Indício, não certeza: a estimativa supõe que a receita desses itens foi declarada no PGDAS-D sem segregação. Confira o que foi declarado em cada mês antes de retificar.</t>
        </is>
      </c>
    </row>
    <row r="156">
      <c r="A156" s="6" t="inlineStr">
        <is>
          <t>REC1</t>
        </is>
      </c>
      <c r="B156" s="6" t="inlineStr">
        <is>
          <t>A lista de NCM é inicial e precisa ser conferida na tabela oficial da Receita Federal; o NCM completo (subitem) define se o produto é monofásico.</t>
        </is>
      </c>
    </row>
    <row r="157">
      <c r="A157" s="6" t="inlineStr">
        <is>
          <t>REC1</t>
        </is>
      </c>
      <c r="B157" s="6" t="inlineStr">
        <is>
          <t>Valores recolhidos a maior podem ser compensados ou restituídos em até 5 anos (CTN, art. 168); o cálculo cobre apenas o período importado.</t>
        </is>
      </c>
    </row>
    <row r="158">
      <c r="A158" s="6" t="inlineStr">
        <is>
          <t>REC2</t>
        </is>
      </c>
      <c r="B158" s="6" t="inlineStr">
        <is>
          <t>Indício, não certeza: a estimativa supõe que a receita desses itens foi declarada no PGDAS-D sem segregação. Confira o que foi declarado em cada mês antes de retificar.</t>
        </is>
      </c>
    </row>
    <row r="159">
      <c r="A159" s="6" t="inlineStr">
        <is>
          <t>REC2</t>
        </is>
      </c>
      <c r="B159" s="6" t="inlineStr">
        <is>
          <t>A lista de NCM é inicial e precisa ser conferida na tabela oficial da Receita Federal; o NCM completo (subitem) define se o produto é monofásico.</t>
        </is>
      </c>
    </row>
    <row r="160">
      <c r="A160" s="6" t="inlineStr">
        <is>
          <t>REC2</t>
        </is>
      </c>
      <c r="B160" s="6" t="inlineStr">
        <is>
          <t>Em 2026-01 o ICMS já é recolhido fora do DAS (receita acima de R$ 3,6 milhões): não há economia de ICMS nesses meses.</t>
        </is>
      </c>
    </row>
    <row r="161">
      <c r="A161" s="6" t="inlineStr">
        <is>
          <t>REC2</t>
        </is>
      </c>
      <c r="B161" s="6" t="inlineStr">
        <is>
          <t>Valores recolhidos a maior podem ser compensados ou restituídos em até 5 anos (CTN, art. 168); o cálculo cobre apenas o período importado.</t>
        </is>
      </c>
    </row>
    <row r="162">
      <c r="A162" s="6" t="inlineStr">
        <is>
          <t>REC3</t>
        </is>
      </c>
      <c r="B162" s="6" t="inlineStr">
        <is>
          <t>Indício, não certeza: a estimativa supõe que a receita desses itens foi declarada no PGDAS-D sem segregação. Confira o que foi declarado em cada mês antes de retificar.</t>
        </is>
      </c>
    </row>
    <row r="163">
      <c r="A163" s="6" t="inlineStr">
        <is>
          <t>REC3</t>
        </is>
      </c>
      <c r="B163" s="6" t="inlineStr">
        <is>
          <t>A lista de NCM é inicial e precisa ser conferida na tabela oficial da Receita Federal; o NCM completo (subitem) define se o produto é monofásico.</t>
        </is>
      </c>
    </row>
    <row r="164">
      <c r="A164" s="6" t="inlineStr">
        <is>
          <t>REC3</t>
        </is>
      </c>
      <c r="B164" s="6" t="inlineStr">
        <is>
          <t>Valores recolhidos a maior podem ser compensados ou restituídos em até 5 anos (CTN, art. 168); o cálculo cobre apenas o período importado.</t>
        </is>
      </c>
    </row>
    <row r="165">
      <c r="A165" s="6" t="inlineStr">
        <is>
          <t>AV1</t>
        </is>
      </c>
      <c r="B165" s="6" t="inlineStr">
        <is>
          <t>Fator R de 27,28%: o cliente paga pelo Anexo V. Elevar o pró-labore em R$ 360,00 por mês leva o fator R a 28% e o DAS cai de R$ 107.100,00 para R$ 63.360,00 por ano. O INSS do sócio sobre o acréscimo custa cerca de R$ 475,20 por ano (supondo um sócio, antes do IRPF). Ganho líquido estimado: R$ 43.264,80 por ano.</t>
        </is>
      </c>
    </row>
    <row r="166">
      <c r="A166" s="6" t="inlineStr">
        <is>
          <t>AV2</t>
        </is>
      </c>
      <c r="B166" s="6" t="inlineStr">
        <is>
          <t>Fator R de 29,28%, perto do mínimo de 28%. Sobram só R$ 7.680,00 de folha por ano acima do mínimo. Se a receita subir ou a folha cair, o cliente passa do Anexo III para o V e o DAS aumenta cerca de R$ 43.740,00 por ano (com a receita atual).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2026-10-27T12:12:35Z</dcterms:created>
  <dcterms:modified xsi:type="dcterms:W3CDTF">2026-10-27T12:12:36Z</dcterms:modified>
</cp:coreProperties>
</file>