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'Casos'!$A$1:$I$291</definedName>
    <definedName name="_xlnm._FilterDatabase" localSheetId="2" hidden="1">'Memória de cálculo'!$A$1:$E$534</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13/10/2026 com o motor tolaris_motor. 69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row>
    <row r="18">
      <c r="A18"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1"/>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AU1-PF</t>
        </is>
      </c>
      <c r="B225" s="5" t="inlineStr">
        <is>
          <t>Autônomo × CNPJ — Autônomo (pessoa física) (mensal)</t>
        </is>
      </c>
      <c r="C225" s="6" t="inlineStr">
        <is>
          <t>Receita R$ 6.000/mês, pode ser MEI</t>
        </is>
      </c>
      <c r="D225" s="5" t="inlineStr">
        <is>
          <t>INSS (20%)</t>
        </is>
      </c>
      <c r="E225" s="7" t="n">
        <v>1200</v>
      </c>
      <c r="F225" s="8" t="n"/>
      <c r="G225" s="7">
        <f>IF(F225="","",E225-F225)</f>
        <v/>
      </c>
      <c r="H225" s="5" t="n"/>
      <c r="I225" s="6" t="n"/>
    </row>
    <row r="226">
      <c r="A226" s="5" t="inlineStr">
        <is>
          <t>AU1-PF</t>
        </is>
      </c>
      <c r="B226" s="5" t="inlineStr">
        <is>
          <t>Autônomo × CNPJ — Autônomo (pessoa física) (mensal)</t>
        </is>
      </c>
      <c r="C226" s="6" t="inlineStr">
        <is>
          <t>Receita R$ 6.000/mês, pode ser MEI</t>
        </is>
      </c>
      <c r="D226" s="5" t="inlineStr">
        <is>
          <t>IRPF (carnê-leão)</t>
        </is>
      </c>
      <c r="E226" s="7" t="n">
        <v>231.52</v>
      </c>
      <c r="F226" s="8" t="n"/>
      <c r="G226" s="7">
        <f>IF(F226="","",E226-F226)</f>
        <v/>
      </c>
      <c r="H226" s="5" t="n"/>
      <c r="I226" s="6" t="n"/>
    </row>
    <row r="227">
      <c r="A227" s="9" t="inlineStr">
        <is>
          <t>AU1-PF</t>
        </is>
      </c>
      <c r="B227" s="9" t="inlineStr">
        <is>
          <t>Autônomo × CNPJ — Autônomo (pessoa física) (mensal)</t>
        </is>
      </c>
      <c r="C227" s="10" t="inlineStr">
        <is>
          <t>Receita R$ 6.000/mês, pode ser MEI</t>
        </is>
      </c>
      <c r="D227" s="9" t="inlineStr">
        <is>
          <t>TOTAL</t>
        </is>
      </c>
      <c r="E227" s="11">
        <f>SUM(E225:E226)</f>
        <v/>
      </c>
      <c r="F227" s="12" t="n"/>
      <c r="G227" s="11">
        <f>IF(F227="","",E227-F227)</f>
        <v/>
      </c>
      <c r="H227" s="9" t="n"/>
      <c r="I227" s="10" t="n"/>
    </row>
    <row r="228">
      <c r="A228" s="13" t="inlineStr">
        <is>
          <t>AU1-MEI</t>
        </is>
      </c>
      <c r="B228" s="13" t="inlineStr">
        <is>
          <t>Autônomo × CNPJ — MEI (mensal)</t>
        </is>
      </c>
      <c r="C228" s="14" t="inlineStr">
        <is>
          <t>Receita R$ 6.000/mês, pode ser MEI</t>
        </is>
      </c>
      <c r="D228" s="13" t="inlineStr">
        <is>
          <t>DAS-MEI (INSS)</t>
        </is>
      </c>
      <c r="E228" s="15" t="n">
        <v>81.05</v>
      </c>
      <c r="F228" s="8" t="n"/>
      <c r="G228" s="15">
        <f>IF(F228="","",E228-F228)</f>
        <v/>
      </c>
      <c r="H228" s="13" t="n"/>
      <c r="I228" s="14" t="n"/>
    </row>
    <row r="229">
      <c r="A229" s="13" t="inlineStr">
        <is>
          <t>AU1-MEI</t>
        </is>
      </c>
      <c r="B229" s="13" t="inlineStr">
        <is>
          <t>Autônomo × CNPJ — MEI (mensal)</t>
        </is>
      </c>
      <c r="C229" s="14" t="inlineStr">
        <is>
          <t>Receita R$ 6.000/mês, pode ser MEI</t>
        </is>
      </c>
      <c r="D229" s="13" t="inlineStr">
        <is>
          <t>DAS-MEI (ISS)</t>
        </is>
      </c>
      <c r="E229" s="15" t="n">
        <v>5</v>
      </c>
      <c r="F229" s="8" t="n"/>
      <c r="G229" s="15">
        <f>IF(F229="","",E229-F229)</f>
        <v/>
      </c>
      <c r="H229" s="13" t="n"/>
      <c r="I229" s="14" t="n"/>
    </row>
    <row r="230">
      <c r="A230" s="16" t="inlineStr">
        <is>
          <t>AU1-MEI</t>
        </is>
      </c>
      <c r="B230" s="16" t="inlineStr">
        <is>
          <t>Autônomo × CNPJ — MEI (mensal)</t>
        </is>
      </c>
      <c r="C230" s="17" t="inlineStr">
        <is>
          <t>Receita R$ 6.000/mês, pode ser MEI</t>
        </is>
      </c>
      <c r="D230" s="16" t="inlineStr">
        <is>
          <t>TOTAL</t>
        </is>
      </c>
      <c r="E230" s="18">
        <f>SUM(E228:E229)</f>
        <v/>
      </c>
      <c r="F230" s="12" t="n"/>
      <c r="G230" s="18">
        <f>IF(F230="","",E230-F230)</f>
        <v/>
      </c>
      <c r="H230" s="16" t="n"/>
      <c r="I230" s="17" t="n"/>
    </row>
    <row r="231">
      <c r="A231" s="5" t="inlineStr">
        <is>
          <t>AU1-SN</t>
        </is>
      </c>
      <c r="B231" s="5" t="inlineStr">
        <is>
          <t>Autônomo × CNPJ — Simples Nacional (mensal)</t>
        </is>
      </c>
      <c r="C231" s="6" t="inlineStr">
        <is>
          <t>Receita R$ 6.000/mês, pode ser MEI</t>
        </is>
      </c>
      <c r="D231" s="5" t="inlineStr">
        <is>
          <t>DAS</t>
        </is>
      </c>
      <c r="E231" s="7" t="n">
        <v>360</v>
      </c>
      <c r="F231" s="8" t="n"/>
      <c r="G231" s="7">
        <f>IF(F231="","",E231-F231)</f>
        <v/>
      </c>
      <c r="H231" s="5" t="n"/>
      <c r="I231" s="6" t="n"/>
    </row>
    <row r="232">
      <c r="A232" s="5" t="inlineStr">
        <is>
          <t>AU1-SN</t>
        </is>
      </c>
      <c r="B232" s="5" t="inlineStr">
        <is>
          <t>Autônomo × CNPJ — Simples Nacional (mensal)</t>
        </is>
      </c>
      <c r="C232" s="6" t="inlineStr">
        <is>
          <t>Receita R$ 6.000/mês, pode ser MEI</t>
        </is>
      </c>
      <c r="D232" s="5" t="inlineStr">
        <is>
          <t>INSS sobre pró-labore (11%)</t>
        </is>
      </c>
      <c r="E232" s="7" t="n">
        <v>184.8</v>
      </c>
      <c r="F232" s="8" t="n"/>
      <c r="G232" s="7">
        <f>IF(F232="","",E232-F232)</f>
        <v/>
      </c>
      <c r="H232" s="5" t="n"/>
      <c r="I232" s="6" t="n"/>
    </row>
    <row r="233">
      <c r="A233" s="5" t="inlineStr">
        <is>
          <t>AU1-SN</t>
        </is>
      </c>
      <c r="B233" s="5" t="inlineStr">
        <is>
          <t>Autônomo × CNPJ — Simples Nacional (mensal)</t>
        </is>
      </c>
      <c r="C233" s="6" t="inlineStr">
        <is>
          <t>Receita R$ 6.000/mês, pode ser MEI</t>
        </is>
      </c>
      <c r="D233" s="5" t="inlineStr">
        <is>
          <t>IRPF sobre pró-labore</t>
        </is>
      </c>
      <c r="E233" s="7" t="n">
        <v>0</v>
      </c>
      <c r="F233" s="8" t="n"/>
      <c r="G233" s="7">
        <f>IF(F233="","",E233-F233)</f>
        <v/>
      </c>
      <c r="H233" s="5" t="n"/>
      <c r="I233" s="6" t="n"/>
    </row>
    <row r="234">
      <c r="A234" s="9" t="inlineStr">
        <is>
          <t>AU1-SN</t>
        </is>
      </c>
      <c r="B234" s="9" t="inlineStr">
        <is>
          <t>Autônomo × CNPJ — Simples Nacional (mensal)</t>
        </is>
      </c>
      <c r="C234" s="10" t="inlineStr">
        <is>
          <t>Receita R$ 6.000/mês, pode ser MEI</t>
        </is>
      </c>
      <c r="D234" s="9" t="inlineStr">
        <is>
          <t>TOTAL</t>
        </is>
      </c>
      <c r="E234" s="11">
        <f>SUM(E231:E233)</f>
        <v/>
      </c>
      <c r="F234" s="12" t="n"/>
      <c r="G234" s="11">
        <f>IF(F234="","",E234-F234)</f>
        <v/>
      </c>
      <c r="H234" s="9" t="n"/>
      <c r="I234" s="10" t="n"/>
    </row>
    <row r="235">
      <c r="A235" s="13" t="inlineStr">
        <is>
          <t>AU1-LP</t>
        </is>
      </c>
      <c r="B235" s="13" t="inlineStr">
        <is>
          <t>Autônomo × CNPJ — Lucro Presumido (mensal)</t>
        </is>
      </c>
      <c r="C235" s="14" t="inlineStr">
        <is>
          <t>Receita R$ 6.000/mês, pode ser MEI</t>
        </is>
      </c>
      <c r="D235" s="13" t="inlineStr">
        <is>
          <t>IRPJ</t>
        </is>
      </c>
      <c r="E235" s="15" t="n">
        <v>288</v>
      </c>
      <c r="F235" s="8" t="n"/>
      <c r="G235" s="15">
        <f>IF(F235="","",E235-F235)</f>
        <v/>
      </c>
      <c r="H235" s="13" t="n"/>
      <c r="I235" s="14" t="n"/>
    </row>
    <row r="236">
      <c r="A236" s="13" t="inlineStr">
        <is>
          <t>AU1-LP</t>
        </is>
      </c>
      <c r="B236" s="13" t="inlineStr">
        <is>
          <t>Autônomo × CNPJ — Lucro Presumido (mensal)</t>
        </is>
      </c>
      <c r="C236" s="14" t="inlineStr">
        <is>
          <t>Receita R$ 6.000/mês, pode ser MEI</t>
        </is>
      </c>
      <c r="D236" s="13" t="inlineStr">
        <is>
          <t>CSLL</t>
        </is>
      </c>
      <c r="E236" s="15" t="n">
        <v>172.8</v>
      </c>
      <c r="F236" s="8" t="n"/>
      <c r="G236" s="15">
        <f>IF(F236="","",E236-F236)</f>
        <v/>
      </c>
      <c r="H236" s="13" t="n"/>
      <c r="I236" s="14" t="n"/>
    </row>
    <row r="237">
      <c r="A237" s="13" t="inlineStr">
        <is>
          <t>AU1-LP</t>
        </is>
      </c>
      <c r="B237" s="13" t="inlineStr">
        <is>
          <t>Autônomo × CNPJ — Lucro Presumido (mensal)</t>
        </is>
      </c>
      <c r="C237" s="14" t="inlineStr">
        <is>
          <t>Receita R$ 6.000/mês, pode ser MEI</t>
        </is>
      </c>
      <c r="D237" s="13" t="inlineStr">
        <is>
          <t>PIS</t>
        </is>
      </c>
      <c r="E237" s="15" t="n">
        <v>39</v>
      </c>
      <c r="F237" s="8" t="n"/>
      <c r="G237" s="15">
        <f>IF(F237="","",E237-F237)</f>
        <v/>
      </c>
      <c r="H237" s="13" t="n"/>
      <c r="I237" s="14" t="n"/>
    </row>
    <row r="238">
      <c r="A238" s="13" t="inlineStr">
        <is>
          <t>AU1-LP</t>
        </is>
      </c>
      <c r="B238" s="13" t="inlineStr">
        <is>
          <t>Autônomo × CNPJ — Lucro Presumido (mensal)</t>
        </is>
      </c>
      <c r="C238" s="14" t="inlineStr">
        <is>
          <t>Receita R$ 6.000/mês, pode ser MEI</t>
        </is>
      </c>
      <c r="D238" s="13" t="inlineStr">
        <is>
          <t>Cofins</t>
        </is>
      </c>
      <c r="E238" s="15" t="n">
        <v>180</v>
      </c>
      <c r="F238" s="8" t="n"/>
      <c r="G238" s="15">
        <f>IF(F238="","",E238-F238)</f>
        <v/>
      </c>
      <c r="H238" s="13" t="n"/>
      <c r="I238" s="14" t="n"/>
    </row>
    <row r="239">
      <c r="A239" s="13" t="inlineStr">
        <is>
          <t>AU1-LP</t>
        </is>
      </c>
      <c r="B239" s="13" t="inlineStr">
        <is>
          <t>Autônomo × CNPJ — Lucro Presumido (mensal)</t>
        </is>
      </c>
      <c r="C239" s="14" t="inlineStr">
        <is>
          <t>Receita R$ 6.000/mês, pode ser MEI</t>
        </is>
      </c>
      <c r="D239" s="13" t="inlineStr">
        <is>
          <t>ISS</t>
        </is>
      </c>
      <c r="E239" s="15" t="n">
        <v>300</v>
      </c>
      <c r="F239" s="8" t="n"/>
      <c r="G239" s="15">
        <f>IF(F239="","",E239-F239)</f>
        <v/>
      </c>
      <c r="H239" s="13" t="n"/>
      <c r="I239" s="14" t="n"/>
    </row>
    <row r="240">
      <c r="A240" s="13" t="inlineStr">
        <is>
          <t>AU1-LP</t>
        </is>
      </c>
      <c r="B240" s="13" t="inlineStr">
        <is>
          <t>Autônomo × CNPJ — Lucro Presumido (mensal)</t>
        </is>
      </c>
      <c r="C240" s="14" t="inlineStr">
        <is>
          <t>Receita R$ 6.000/mês, pode ser MEI</t>
        </is>
      </c>
      <c r="D240" s="13" t="inlineStr">
        <is>
          <t>INSS patronal</t>
        </is>
      </c>
      <c r="E240" s="15" t="n">
        <v>324.2</v>
      </c>
      <c r="F240" s="8" t="n"/>
      <c r="G240" s="15">
        <f>IF(F240="","",E240-F240)</f>
        <v/>
      </c>
      <c r="H240" s="13" t="n"/>
      <c r="I240" s="14" t="n"/>
    </row>
    <row r="241">
      <c r="A241" s="13" t="inlineStr">
        <is>
          <t>AU1-LP</t>
        </is>
      </c>
      <c r="B241" s="13" t="inlineStr">
        <is>
          <t>Autônomo × CNPJ — Lucro Presumido (mensal)</t>
        </is>
      </c>
      <c r="C241" s="14" t="inlineStr">
        <is>
          <t>Receita R$ 6.000/mês, pode ser MEI</t>
        </is>
      </c>
      <c r="D241" s="13" t="inlineStr">
        <is>
          <t>INSS sobre pró-labore (11%)</t>
        </is>
      </c>
      <c r="E241" s="15" t="n">
        <v>178.31</v>
      </c>
      <c r="F241" s="8" t="n"/>
      <c r="G241" s="15">
        <f>IF(F241="","",E241-F241)</f>
        <v/>
      </c>
      <c r="H241" s="13" t="n"/>
      <c r="I241" s="14" t="n"/>
    </row>
    <row r="242">
      <c r="A242" s="13" t="inlineStr">
        <is>
          <t>AU1-LP</t>
        </is>
      </c>
      <c r="B242" s="13" t="inlineStr">
        <is>
          <t>Autônomo × CNPJ — Lucro Presumido (mensal)</t>
        </is>
      </c>
      <c r="C242" s="14" t="inlineStr">
        <is>
          <t>Receita R$ 6.000/mês, pode ser MEI</t>
        </is>
      </c>
      <c r="D242" s="13" t="inlineStr">
        <is>
          <t>IRPF sobre pró-labore</t>
        </is>
      </c>
      <c r="E242" s="15" t="n">
        <v>0</v>
      </c>
      <c r="F242" s="8" t="n"/>
      <c r="G242" s="15">
        <f>IF(F242="","",E242-F242)</f>
        <v/>
      </c>
      <c r="H242" s="13" t="n"/>
      <c r="I242" s="14" t="n"/>
    </row>
    <row r="243">
      <c r="A243" s="16" t="inlineStr">
        <is>
          <t>AU1-LP</t>
        </is>
      </c>
      <c r="B243" s="16" t="inlineStr">
        <is>
          <t>Autônomo × CNPJ — Lucro Presumido (mensal)</t>
        </is>
      </c>
      <c r="C243" s="17" t="inlineStr">
        <is>
          <t>Receita R$ 6.000/mês, pode ser MEI</t>
        </is>
      </c>
      <c r="D243" s="16" t="inlineStr">
        <is>
          <t>TOTAL</t>
        </is>
      </c>
      <c r="E243" s="18">
        <f>SUM(E235:E242)</f>
        <v/>
      </c>
      <c r="F243" s="12" t="n"/>
      <c r="G243" s="18">
        <f>IF(F243="","",E243-F243)</f>
        <v/>
      </c>
      <c r="H243" s="16" t="n"/>
      <c r="I243" s="17" t="n"/>
    </row>
    <row r="244">
      <c r="A244" s="5" t="inlineStr">
        <is>
          <t>AU2-PF</t>
        </is>
      </c>
      <c r="B244" s="5" t="inlineStr">
        <is>
          <t>Autônomo × CNPJ — Autônomo (pessoa física) (mensal)</t>
        </is>
      </c>
      <c r="C244" s="6" t="inlineStr">
        <is>
          <t>Receita R$ 15.000/mês, despesas R$ 1.000</t>
        </is>
      </c>
      <c r="D244" s="5" t="inlineStr">
        <is>
          <t>INSS (20%)</t>
        </is>
      </c>
      <c r="E244" s="7" t="n">
        <v>1695.11</v>
      </c>
      <c r="F244" s="8" t="n"/>
      <c r="G244" s="7">
        <f>IF(F244="","",E244-F244)</f>
        <v/>
      </c>
      <c r="H244" s="5" t="n"/>
      <c r="I244" s="6" t="n"/>
    </row>
    <row r="245">
      <c r="A245" s="5" t="inlineStr">
        <is>
          <t>AU2-PF</t>
        </is>
      </c>
      <c r="B245" s="5" t="inlineStr">
        <is>
          <t>Autônomo × CNPJ — Autônomo (pessoa física) (mensal)</t>
        </is>
      </c>
      <c r="C245" s="6" t="inlineStr">
        <is>
          <t>Receita R$ 15.000/mês, despesas R$ 1.000</t>
        </is>
      </c>
      <c r="D245" s="5" t="inlineStr">
        <is>
          <t>IRPF (carnê-leão)</t>
        </is>
      </c>
      <c r="E245" s="7" t="n">
        <v>2475.11</v>
      </c>
      <c r="F245" s="8" t="n"/>
      <c r="G245" s="7">
        <f>IF(F245="","",E245-F245)</f>
        <v/>
      </c>
      <c r="H245" s="5" t="n"/>
      <c r="I245" s="6" t="n"/>
    </row>
    <row r="246">
      <c r="A246" s="9" t="inlineStr">
        <is>
          <t>AU2-PF</t>
        </is>
      </c>
      <c r="B246" s="9" t="inlineStr">
        <is>
          <t>Autônomo × CNPJ — Autônomo (pessoa física) (mensal)</t>
        </is>
      </c>
      <c r="C246" s="10" t="inlineStr">
        <is>
          <t>Receita R$ 15.000/mês, despesas R$ 1.000</t>
        </is>
      </c>
      <c r="D246" s="9" t="inlineStr">
        <is>
          <t>TOTAL</t>
        </is>
      </c>
      <c r="E246" s="11">
        <f>SUM(E244:E245)</f>
        <v/>
      </c>
      <c r="F246" s="12" t="n"/>
      <c r="G246" s="11">
        <f>IF(F246="","",E246-F246)</f>
        <v/>
      </c>
      <c r="H246" s="9" t="n"/>
      <c r="I246" s="10" t="n"/>
    </row>
    <row r="247">
      <c r="A247" s="13" t="inlineStr">
        <is>
          <t>AU2-SN</t>
        </is>
      </c>
      <c r="B247" s="13" t="inlineStr">
        <is>
          <t>Autônomo × CNPJ — Simples Nacional (mensal)</t>
        </is>
      </c>
      <c r="C247" s="14" t="inlineStr">
        <is>
          <t>Receita R$ 15.000/mês, despesas R$ 1.000</t>
        </is>
      </c>
      <c r="D247" s="13" t="inlineStr">
        <is>
          <t>DAS</t>
        </is>
      </c>
      <c r="E247" s="15" t="n">
        <v>900</v>
      </c>
      <c r="F247" s="8" t="n"/>
      <c r="G247" s="15">
        <f>IF(F247="","",E247-F247)</f>
        <v/>
      </c>
      <c r="H247" s="13" t="n"/>
      <c r="I247" s="14" t="n"/>
    </row>
    <row r="248">
      <c r="A248" s="13" t="inlineStr">
        <is>
          <t>AU2-SN</t>
        </is>
      </c>
      <c r="B248" s="13" t="inlineStr">
        <is>
          <t>Autônomo × CNPJ — Simples Nacional (mensal)</t>
        </is>
      </c>
      <c r="C248" s="14" t="inlineStr">
        <is>
          <t>Receita R$ 15.000/mês, despesas R$ 1.000</t>
        </is>
      </c>
      <c r="D248" s="13" t="inlineStr">
        <is>
          <t>INSS sobre pró-labore (11%)</t>
        </is>
      </c>
      <c r="E248" s="15" t="n">
        <v>462</v>
      </c>
      <c r="F248" s="8" t="n"/>
      <c r="G248" s="15">
        <f>IF(F248="","",E248-F248)</f>
        <v/>
      </c>
      <c r="H248" s="13" t="n"/>
      <c r="I248" s="14" t="n"/>
    </row>
    <row r="249">
      <c r="A249" s="13" t="inlineStr">
        <is>
          <t>AU2-SN</t>
        </is>
      </c>
      <c r="B249" s="13" t="inlineStr">
        <is>
          <t>Autônomo × CNPJ — Simples Nacional (mensal)</t>
        </is>
      </c>
      <c r="C249" s="14" t="inlineStr">
        <is>
          <t>Receita R$ 15.000/mês, despesas R$ 1.000</t>
        </is>
      </c>
      <c r="D249" s="13" t="inlineStr">
        <is>
          <t>IRPF sobre pró-labore</t>
        </is>
      </c>
      <c r="E249" s="15" t="n">
        <v>0</v>
      </c>
      <c r="F249" s="8" t="n"/>
      <c r="G249" s="15">
        <f>IF(F249="","",E249-F249)</f>
        <v/>
      </c>
      <c r="H249" s="13" t="n"/>
      <c r="I249" s="14" t="n"/>
    </row>
    <row r="250">
      <c r="A250" s="16" t="inlineStr">
        <is>
          <t>AU2-SN</t>
        </is>
      </c>
      <c r="B250" s="16" t="inlineStr">
        <is>
          <t>Autônomo × CNPJ — Simples Nacional (mensal)</t>
        </is>
      </c>
      <c r="C250" s="17" t="inlineStr">
        <is>
          <t>Receita R$ 15.000/mês, despesas R$ 1.000</t>
        </is>
      </c>
      <c r="D250" s="16" t="inlineStr">
        <is>
          <t>TOTAL</t>
        </is>
      </c>
      <c r="E250" s="18">
        <f>SUM(E247:E249)</f>
        <v/>
      </c>
      <c r="F250" s="12" t="n"/>
      <c r="G250" s="18">
        <f>IF(F250="","",E250-F250)</f>
        <v/>
      </c>
      <c r="H250" s="16" t="n"/>
      <c r="I250" s="17" t="n"/>
    </row>
    <row r="251">
      <c r="A251" s="5" t="inlineStr">
        <is>
          <t>AU2-LP</t>
        </is>
      </c>
      <c r="B251" s="5" t="inlineStr">
        <is>
          <t>Autônomo × CNPJ — Lucro Presumido (mensal)</t>
        </is>
      </c>
      <c r="C251" s="6" t="inlineStr">
        <is>
          <t>Receita R$ 15.000/mês, despesas R$ 1.000</t>
        </is>
      </c>
      <c r="D251" s="5" t="inlineStr">
        <is>
          <t>IRPJ</t>
        </is>
      </c>
      <c r="E251" s="7" t="n">
        <v>720</v>
      </c>
      <c r="F251" s="8" t="n"/>
      <c r="G251" s="7">
        <f>IF(F251="","",E251-F251)</f>
        <v/>
      </c>
      <c r="H251" s="5" t="n"/>
      <c r="I251" s="6" t="n"/>
    </row>
    <row r="252">
      <c r="A252" s="5" t="inlineStr">
        <is>
          <t>AU2-LP</t>
        </is>
      </c>
      <c r="B252" s="5" t="inlineStr">
        <is>
          <t>Autônomo × CNPJ — Lucro Presumido (mensal)</t>
        </is>
      </c>
      <c r="C252" s="6" t="inlineStr">
        <is>
          <t>Receita R$ 15.000/mês, despesas R$ 1.000</t>
        </is>
      </c>
      <c r="D252" s="5" t="inlineStr">
        <is>
          <t>CSLL</t>
        </is>
      </c>
      <c r="E252" s="7" t="n">
        <v>432</v>
      </c>
      <c r="F252" s="8" t="n"/>
      <c r="G252" s="7">
        <f>IF(F252="","",E252-F252)</f>
        <v/>
      </c>
      <c r="H252" s="5" t="n"/>
      <c r="I252" s="6" t="n"/>
    </row>
    <row r="253">
      <c r="A253" s="5" t="inlineStr">
        <is>
          <t>AU2-LP</t>
        </is>
      </c>
      <c r="B253" s="5" t="inlineStr">
        <is>
          <t>Autônomo × CNPJ — Lucro Presumido (mensal)</t>
        </is>
      </c>
      <c r="C253" s="6" t="inlineStr">
        <is>
          <t>Receita R$ 15.000/mês, despesas R$ 1.000</t>
        </is>
      </c>
      <c r="D253" s="5" t="inlineStr">
        <is>
          <t>PIS</t>
        </is>
      </c>
      <c r="E253" s="7" t="n">
        <v>97.5</v>
      </c>
      <c r="F253" s="8" t="n"/>
      <c r="G253" s="7">
        <f>IF(F253="","",E253-F253)</f>
        <v/>
      </c>
      <c r="H253" s="5" t="n"/>
      <c r="I253" s="6" t="n"/>
    </row>
    <row r="254">
      <c r="A254" s="5" t="inlineStr">
        <is>
          <t>AU2-LP</t>
        </is>
      </c>
      <c r="B254" s="5" t="inlineStr">
        <is>
          <t>Autônomo × CNPJ — Lucro Presumido (mensal)</t>
        </is>
      </c>
      <c r="C254" s="6" t="inlineStr">
        <is>
          <t>Receita R$ 15.000/mês, despesas R$ 1.000</t>
        </is>
      </c>
      <c r="D254" s="5" t="inlineStr">
        <is>
          <t>Cofins</t>
        </is>
      </c>
      <c r="E254" s="7" t="n">
        <v>450</v>
      </c>
      <c r="F254" s="8" t="n"/>
      <c r="G254" s="7">
        <f>IF(F254="","",E254-F254)</f>
        <v/>
      </c>
      <c r="H254" s="5" t="n"/>
      <c r="I254" s="6" t="n"/>
    </row>
    <row r="255">
      <c r="A255" s="5" t="inlineStr">
        <is>
          <t>AU2-LP</t>
        </is>
      </c>
      <c r="B255" s="5" t="inlineStr">
        <is>
          <t>Autônomo × CNPJ — Lucro Presumido (mensal)</t>
        </is>
      </c>
      <c r="C255" s="6" t="inlineStr">
        <is>
          <t>Receita R$ 15.000/mês, despesas R$ 1.000</t>
        </is>
      </c>
      <c r="D255" s="5" t="inlineStr">
        <is>
          <t>ISS</t>
        </is>
      </c>
      <c r="E255" s="7" t="n">
        <v>750</v>
      </c>
      <c r="F255" s="8" t="n"/>
      <c r="G255" s="7">
        <f>IF(F255="","",E255-F255)</f>
        <v/>
      </c>
      <c r="H255" s="5" t="n"/>
      <c r="I255" s="6" t="n"/>
    </row>
    <row r="256">
      <c r="A256" s="5" t="inlineStr">
        <is>
          <t>AU2-LP</t>
        </is>
      </c>
      <c r="B256" s="5" t="inlineStr">
        <is>
          <t>Autônomo × CNPJ — Lucro Presumido (mensal)</t>
        </is>
      </c>
      <c r="C256" s="6" t="inlineStr">
        <is>
          <t>Receita R$ 15.000/mês, despesas R$ 1.000</t>
        </is>
      </c>
      <c r="D256" s="5" t="inlineStr">
        <is>
          <t>INSS patronal</t>
        </is>
      </c>
      <c r="E256" s="7" t="n">
        <v>324.2</v>
      </c>
      <c r="F256" s="8" t="n"/>
      <c r="G256" s="7">
        <f>IF(F256="","",E256-F256)</f>
        <v/>
      </c>
      <c r="H256" s="5" t="n"/>
      <c r="I256" s="6" t="n"/>
    </row>
    <row r="257">
      <c r="A257" s="5" t="inlineStr">
        <is>
          <t>AU2-LP</t>
        </is>
      </c>
      <c r="B257" s="5" t="inlineStr">
        <is>
          <t>Autônomo × CNPJ — Lucro Presumido (mensal)</t>
        </is>
      </c>
      <c r="C257" s="6" t="inlineStr">
        <is>
          <t>Receita R$ 15.000/mês, despesas R$ 1.000</t>
        </is>
      </c>
      <c r="D257" s="5" t="inlineStr">
        <is>
          <t>INSS sobre pró-labore (11%)</t>
        </is>
      </c>
      <c r="E257" s="7" t="n">
        <v>178.31</v>
      </c>
      <c r="F257" s="8" t="n"/>
      <c r="G257" s="7">
        <f>IF(F257="","",E257-F257)</f>
        <v/>
      </c>
      <c r="H257" s="5" t="n"/>
      <c r="I257" s="6" t="n"/>
    </row>
    <row r="258">
      <c r="A258" s="5" t="inlineStr">
        <is>
          <t>AU2-LP</t>
        </is>
      </c>
      <c r="B258" s="5" t="inlineStr">
        <is>
          <t>Autônomo × CNPJ — Lucro Presumido (mensal)</t>
        </is>
      </c>
      <c r="C258" s="6" t="inlineStr">
        <is>
          <t>Receita R$ 15.000/mês, despesas R$ 1.000</t>
        </is>
      </c>
      <c r="D258" s="5" t="inlineStr">
        <is>
          <t>IRPF sobre pró-labore</t>
        </is>
      </c>
      <c r="E258" s="7" t="n">
        <v>0</v>
      </c>
      <c r="F258" s="8" t="n"/>
      <c r="G258" s="7">
        <f>IF(F258="","",E258-F258)</f>
        <v/>
      </c>
      <c r="H258" s="5" t="n"/>
      <c r="I258" s="6" t="n"/>
    </row>
    <row r="259">
      <c r="A259" s="9" t="inlineStr">
        <is>
          <t>AU2-LP</t>
        </is>
      </c>
      <c r="B259" s="9" t="inlineStr">
        <is>
          <t>Autônomo × CNPJ — Lucro Presumido (mensal)</t>
        </is>
      </c>
      <c r="C259" s="10" t="inlineStr">
        <is>
          <t>Receita R$ 15.000/mês, despesas R$ 1.000</t>
        </is>
      </c>
      <c r="D259" s="9" t="inlineStr">
        <is>
          <t>TOTAL</t>
        </is>
      </c>
      <c r="E259" s="11">
        <f>SUM(E251:E258)</f>
        <v/>
      </c>
      <c r="F259" s="12" t="n"/>
      <c r="G259" s="11">
        <f>IF(F259="","",E259-F259)</f>
        <v/>
      </c>
      <c r="H259" s="9" t="n"/>
      <c r="I259" s="10" t="n"/>
    </row>
    <row r="260">
      <c r="A260" s="13" t="inlineStr">
        <is>
          <t>AU3-PF</t>
        </is>
      </c>
      <c r="B260" s="13" t="inlineStr">
        <is>
          <t>Autônomo × CNPJ — Autônomo (pessoa física) (mensal)</t>
        </is>
      </c>
      <c r="C260" s="14" t="inlineStr">
        <is>
          <t>Receita R$ 40.000/mês, 1 dependente</t>
        </is>
      </c>
      <c r="D260" s="13" t="inlineStr">
        <is>
          <t>INSS (20%)</t>
        </is>
      </c>
      <c r="E260" s="15" t="n">
        <v>1695.11</v>
      </c>
      <c r="F260" s="8" t="n"/>
      <c r="G260" s="15">
        <f>IF(F260="","",E260-F260)</f>
        <v/>
      </c>
      <c r="H260" s="13" t="n"/>
      <c r="I260" s="14" t="n"/>
    </row>
    <row r="261">
      <c r="A261" s="13" t="inlineStr">
        <is>
          <t>AU3-PF</t>
        </is>
      </c>
      <c r="B261" s="13" t="inlineStr">
        <is>
          <t>Autônomo × CNPJ — Autônomo (pessoa física) (mensal)</t>
        </is>
      </c>
      <c r="C261" s="14" t="inlineStr">
        <is>
          <t>Receita R$ 40.000/mês, 1 dependente</t>
        </is>
      </c>
      <c r="D261" s="13" t="inlineStr">
        <is>
          <t>IRPF (carnê-leão)</t>
        </is>
      </c>
      <c r="E261" s="15" t="n">
        <v>9572.98</v>
      </c>
      <c r="F261" s="8" t="n"/>
      <c r="G261" s="15">
        <f>IF(F261="","",E261-F261)</f>
        <v/>
      </c>
      <c r="H261" s="13" t="n"/>
      <c r="I261" s="14" t="n"/>
    </row>
    <row r="262">
      <c r="A262" s="16" t="inlineStr">
        <is>
          <t>AU3-PF</t>
        </is>
      </c>
      <c r="B262" s="16" t="inlineStr">
        <is>
          <t>Autônomo × CNPJ — Autônomo (pessoa física) (mensal)</t>
        </is>
      </c>
      <c r="C262" s="17" t="inlineStr">
        <is>
          <t>Receita R$ 40.000/mês, 1 dependente</t>
        </is>
      </c>
      <c r="D262" s="16" t="inlineStr">
        <is>
          <t>TOTAL</t>
        </is>
      </c>
      <c r="E262" s="18">
        <f>SUM(E260:E261)</f>
        <v/>
      </c>
      <c r="F262" s="12" t="n"/>
      <c r="G262" s="18">
        <f>IF(F262="","",E262-F262)</f>
        <v/>
      </c>
      <c r="H262" s="16" t="n"/>
      <c r="I262" s="17" t="n"/>
    </row>
    <row r="263">
      <c r="A263" s="5" t="inlineStr">
        <is>
          <t>AU3-SN</t>
        </is>
      </c>
      <c r="B263" s="5" t="inlineStr">
        <is>
          <t>Autônomo × CNPJ — Simples Nacional (mensal)</t>
        </is>
      </c>
      <c r="C263" s="6" t="inlineStr">
        <is>
          <t>Receita R$ 40.000/mês, 1 dependente</t>
        </is>
      </c>
      <c r="D263" s="5" t="inlineStr">
        <is>
          <t>DAS</t>
        </is>
      </c>
      <c r="E263" s="7" t="n">
        <v>3930</v>
      </c>
      <c r="F263" s="8" t="n"/>
      <c r="G263" s="7">
        <f>IF(F263="","",E263-F263)</f>
        <v/>
      </c>
      <c r="H263" s="5" t="n"/>
      <c r="I263" s="6" t="n"/>
    </row>
    <row r="264">
      <c r="A264" s="5" t="inlineStr">
        <is>
          <t>AU3-SN</t>
        </is>
      </c>
      <c r="B264" s="5" t="inlineStr">
        <is>
          <t>Autônomo × CNPJ — Simples Nacional (mensal)</t>
        </is>
      </c>
      <c r="C264" s="6" t="inlineStr">
        <is>
          <t>Receita R$ 40.000/mês, 1 dependente</t>
        </is>
      </c>
      <c r="D264" s="5" t="inlineStr">
        <is>
          <t>INSS sobre pró-labore (11%)</t>
        </is>
      </c>
      <c r="E264" s="7" t="n">
        <v>932.3099999999999</v>
      </c>
      <c r="F264" s="8" t="n"/>
      <c r="G264" s="7">
        <f>IF(F264="","",E264-F264)</f>
        <v/>
      </c>
      <c r="H264" s="5" t="n"/>
      <c r="I264" s="6" t="n"/>
    </row>
    <row r="265">
      <c r="A265" s="5" t="inlineStr">
        <is>
          <t>AU3-SN</t>
        </is>
      </c>
      <c r="B265" s="5" t="inlineStr">
        <is>
          <t>Autônomo × CNPJ — Simples Nacional (mensal)</t>
        </is>
      </c>
      <c r="C265" s="6" t="inlineStr">
        <is>
          <t>Receita R$ 40.000/mês, 1 dependente</t>
        </is>
      </c>
      <c r="D265" s="5" t="inlineStr">
        <is>
          <t>IRPF sobre pró-labore</t>
        </is>
      </c>
      <c r="E265" s="7" t="n">
        <v>1914.89</v>
      </c>
      <c r="F265" s="8" t="n"/>
      <c r="G265" s="7">
        <f>IF(F265="","",E265-F265)</f>
        <v/>
      </c>
      <c r="H265" s="5" t="n"/>
      <c r="I265" s="6" t="n"/>
    </row>
    <row r="266">
      <c r="A266" s="9" t="inlineStr">
        <is>
          <t>AU3-SN</t>
        </is>
      </c>
      <c r="B266" s="9" t="inlineStr">
        <is>
          <t>Autônomo × CNPJ — Simples Nacional (mensal)</t>
        </is>
      </c>
      <c r="C266" s="10" t="inlineStr">
        <is>
          <t>Receita R$ 40.000/mês, 1 dependente</t>
        </is>
      </c>
      <c r="D266" s="9" t="inlineStr">
        <is>
          <t>TOTAL</t>
        </is>
      </c>
      <c r="E266" s="11">
        <f>SUM(E263:E265)</f>
        <v/>
      </c>
      <c r="F266" s="12" t="n"/>
      <c r="G266" s="11">
        <f>IF(F266="","",E266-F266)</f>
        <v/>
      </c>
      <c r="H266" s="9" t="n"/>
      <c r="I266" s="10" t="n"/>
    </row>
    <row r="267">
      <c r="A267" s="13" t="inlineStr">
        <is>
          <t>AU3-LP</t>
        </is>
      </c>
      <c r="B267" s="13" t="inlineStr">
        <is>
          <t>Autônomo × CNPJ — Lucro Presumido (mensal)</t>
        </is>
      </c>
      <c r="C267" s="14" t="inlineStr">
        <is>
          <t>Receita R$ 40.000/mês, 1 dependente</t>
        </is>
      </c>
      <c r="D267" s="13" t="inlineStr">
        <is>
          <t>IRPJ</t>
        </is>
      </c>
      <c r="E267" s="15" t="n">
        <v>1920</v>
      </c>
      <c r="F267" s="8" t="n"/>
      <c r="G267" s="15">
        <f>IF(F267="","",E267-F267)</f>
        <v/>
      </c>
      <c r="H267" s="13" t="n"/>
      <c r="I267" s="14" t="n"/>
    </row>
    <row r="268">
      <c r="A268" s="13" t="inlineStr">
        <is>
          <t>AU3-LP</t>
        </is>
      </c>
      <c r="B268" s="13" t="inlineStr">
        <is>
          <t>Autônomo × CNPJ — Lucro Presumido (mensal)</t>
        </is>
      </c>
      <c r="C268" s="14" t="inlineStr">
        <is>
          <t>Receita R$ 40.000/mês, 1 dependente</t>
        </is>
      </c>
      <c r="D268" s="13" t="inlineStr">
        <is>
          <t>CSLL</t>
        </is>
      </c>
      <c r="E268" s="15" t="n">
        <v>1152</v>
      </c>
      <c r="F268" s="8" t="n"/>
      <c r="G268" s="15">
        <f>IF(F268="","",E268-F268)</f>
        <v/>
      </c>
      <c r="H268" s="13" t="n"/>
      <c r="I268" s="14" t="n"/>
    </row>
    <row r="269">
      <c r="A269" s="13" t="inlineStr">
        <is>
          <t>AU3-LP</t>
        </is>
      </c>
      <c r="B269" s="13" t="inlineStr">
        <is>
          <t>Autônomo × CNPJ — Lucro Presumido (mensal)</t>
        </is>
      </c>
      <c r="C269" s="14" t="inlineStr">
        <is>
          <t>Receita R$ 40.000/mês, 1 dependente</t>
        </is>
      </c>
      <c r="D269" s="13" t="inlineStr">
        <is>
          <t>PIS</t>
        </is>
      </c>
      <c r="E269" s="15" t="n">
        <v>260</v>
      </c>
      <c r="F269" s="8" t="n"/>
      <c r="G269" s="15">
        <f>IF(F269="","",E269-F269)</f>
        <v/>
      </c>
      <c r="H269" s="13" t="n"/>
      <c r="I269" s="14" t="n"/>
    </row>
    <row r="270">
      <c r="A270" s="13" t="inlineStr">
        <is>
          <t>AU3-LP</t>
        </is>
      </c>
      <c r="B270" s="13" t="inlineStr">
        <is>
          <t>Autônomo × CNPJ — Lucro Presumido (mensal)</t>
        </is>
      </c>
      <c r="C270" s="14" t="inlineStr">
        <is>
          <t>Receita R$ 40.000/mês, 1 dependente</t>
        </is>
      </c>
      <c r="D270" s="13" t="inlineStr">
        <is>
          <t>Cofins</t>
        </is>
      </c>
      <c r="E270" s="15" t="n">
        <v>1200</v>
      </c>
      <c r="F270" s="8" t="n"/>
      <c r="G270" s="15">
        <f>IF(F270="","",E270-F270)</f>
        <v/>
      </c>
      <c r="H270" s="13" t="n"/>
      <c r="I270" s="14" t="n"/>
    </row>
    <row r="271">
      <c r="A271" s="13" t="inlineStr">
        <is>
          <t>AU3-LP</t>
        </is>
      </c>
      <c r="B271" s="13" t="inlineStr">
        <is>
          <t>Autônomo × CNPJ — Lucro Presumido (mensal)</t>
        </is>
      </c>
      <c r="C271" s="14" t="inlineStr">
        <is>
          <t>Receita R$ 40.000/mês, 1 dependente</t>
        </is>
      </c>
      <c r="D271" s="13" t="inlineStr">
        <is>
          <t>ISS</t>
        </is>
      </c>
      <c r="E271" s="15" t="n">
        <v>2000</v>
      </c>
      <c r="F271" s="8" t="n"/>
      <c r="G271" s="15">
        <f>IF(F271="","",E271-F271)</f>
        <v/>
      </c>
      <c r="H271" s="13" t="n"/>
      <c r="I271" s="14" t="n"/>
    </row>
    <row r="272">
      <c r="A272" s="13" t="inlineStr">
        <is>
          <t>AU3-LP</t>
        </is>
      </c>
      <c r="B272" s="13" t="inlineStr">
        <is>
          <t>Autônomo × CNPJ — Lucro Presumido (mensal)</t>
        </is>
      </c>
      <c r="C272" s="14" t="inlineStr">
        <is>
          <t>Receita R$ 40.000/mês, 1 dependente</t>
        </is>
      </c>
      <c r="D272" s="13" t="inlineStr">
        <is>
          <t>INSS patronal</t>
        </is>
      </c>
      <c r="E272" s="15" t="n">
        <v>324.2</v>
      </c>
      <c r="F272" s="8" t="n"/>
      <c r="G272" s="15">
        <f>IF(F272="","",E272-F272)</f>
        <v/>
      </c>
      <c r="H272" s="13" t="n"/>
      <c r="I272" s="14" t="n"/>
    </row>
    <row r="273">
      <c r="A273" s="13" t="inlineStr">
        <is>
          <t>AU3-LP</t>
        </is>
      </c>
      <c r="B273" s="13" t="inlineStr">
        <is>
          <t>Autônomo × CNPJ — Lucro Presumido (mensal)</t>
        </is>
      </c>
      <c r="C273" s="14" t="inlineStr">
        <is>
          <t>Receita R$ 40.000/mês, 1 dependente</t>
        </is>
      </c>
      <c r="D273" s="13" t="inlineStr">
        <is>
          <t>INSS sobre pró-labore (11%)</t>
        </is>
      </c>
      <c r="E273" s="15" t="n">
        <v>178.31</v>
      </c>
      <c r="F273" s="8" t="n"/>
      <c r="G273" s="15">
        <f>IF(F273="","",E273-F273)</f>
        <v/>
      </c>
      <c r="H273" s="13" t="n"/>
      <c r="I273" s="14" t="n"/>
    </row>
    <row r="274">
      <c r="A274" s="13" t="inlineStr">
        <is>
          <t>AU3-LP</t>
        </is>
      </c>
      <c r="B274" s="13" t="inlineStr">
        <is>
          <t>Autônomo × CNPJ — Lucro Presumido (mensal)</t>
        </is>
      </c>
      <c r="C274" s="14" t="inlineStr">
        <is>
          <t>Receita R$ 40.000/mês, 1 dependente</t>
        </is>
      </c>
      <c r="D274" s="13" t="inlineStr">
        <is>
          <t>IRPF sobre pró-labore</t>
        </is>
      </c>
      <c r="E274" s="15" t="n">
        <v>0</v>
      </c>
      <c r="F274" s="8" t="n"/>
      <c r="G274" s="15">
        <f>IF(F274="","",E274-F274)</f>
        <v/>
      </c>
      <c r="H274" s="13" t="n"/>
      <c r="I274" s="14" t="n"/>
    </row>
    <row r="275">
      <c r="A275" s="16" t="inlineStr">
        <is>
          <t>AU3-LP</t>
        </is>
      </c>
      <c r="B275" s="16" t="inlineStr">
        <is>
          <t>Autônomo × CNPJ — Lucro Presumido (mensal)</t>
        </is>
      </c>
      <c r="C275" s="17" t="inlineStr">
        <is>
          <t>Receita R$ 40.000/mês, 1 dependente</t>
        </is>
      </c>
      <c r="D275" s="16" t="inlineStr">
        <is>
          <t>TOTAL</t>
        </is>
      </c>
      <c r="E275" s="18">
        <f>SUM(E267:E274)</f>
        <v/>
      </c>
      <c r="F275" s="12" t="n"/>
      <c r="G275" s="18">
        <f>IF(F275="","",E275-F275)</f>
        <v/>
      </c>
      <c r="H275" s="16" t="n"/>
      <c r="I275" s="17" t="n"/>
    </row>
    <row r="276">
      <c r="A276" s="5" t="inlineStr">
        <is>
          <t>REC1</t>
        </is>
      </c>
      <c r="B276" s="5" t="inlineStr">
        <is>
          <t>Recuperação: PIS/Cofins monofásico e ICMS-ST (jan/2026)</t>
        </is>
      </c>
      <c r="C276" s="6" t="inlineStr">
        <is>
          <t>Comércio (Anexo I), RBT12 R$ 1.200.000; vendas de R$ 10.000 em monofásicos e R$ 20.000 com ST</t>
        </is>
      </c>
      <c r="D276" s="5" t="inlineStr">
        <is>
          <t>PIS/Cofins pagos a mais (produtos monofásicos)</t>
        </is>
      </c>
      <c r="E276" s="7" t="n">
        <v>136.79</v>
      </c>
      <c r="F276" s="8" t="n"/>
      <c r="G276" s="7">
        <f>IF(F276="","",E276-F276)</f>
        <v/>
      </c>
      <c r="H276" s="5" t="n"/>
      <c r="I276" s="6" t="n"/>
    </row>
    <row r="277">
      <c r="A277" s="5" t="inlineStr">
        <is>
          <t>REC1</t>
        </is>
      </c>
      <c r="B277" s="5" t="inlineStr">
        <is>
          <t>Recuperação: PIS/Cofins monofásico e ICMS-ST (jan/2026)</t>
        </is>
      </c>
      <c r="C277" s="6" t="inlineStr">
        <is>
          <t>Comércio (Anexo I), RBT12 R$ 1.200.000; vendas de R$ 10.000 em monofásicos e R$ 20.000 com ST</t>
        </is>
      </c>
      <c r="D277" s="5" t="inlineStr">
        <is>
          <t>ICMS pago a mais (produtos com ST)</t>
        </is>
      </c>
      <c r="E277" s="7" t="n">
        <v>591.28</v>
      </c>
      <c r="F277" s="8" t="n"/>
      <c r="G277" s="7">
        <f>IF(F277="","",E277-F277)</f>
        <v/>
      </c>
      <c r="H277" s="5" t="n"/>
      <c r="I277" s="6" t="n"/>
    </row>
    <row r="278">
      <c r="A278" s="9" t="inlineStr">
        <is>
          <t>REC1</t>
        </is>
      </c>
      <c r="B278" s="9" t="inlineStr">
        <is>
          <t>Recuperação: PIS/Cofins monofásico e ICMS-ST (jan/2026)</t>
        </is>
      </c>
      <c r="C278" s="10" t="inlineStr">
        <is>
          <t>Comércio (Anexo I), RBT12 R$ 1.200.000; vendas de R$ 10.000 em monofásicos e R$ 20.000 com ST</t>
        </is>
      </c>
      <c r="D278" s="9" t="inlineStr">
        <is>
          <t>TOTAL</t>
        </is>
      </c>
      <c r="E278" s="11">
        <f>SUM(E276:E277)</f>
        <v/>
      </c>
      <c r="F278" s="12" t="n"/>
      <c r="G278" s="11">
        <f>IF(F278="","",E278-F278)</f>
        <v/>
      </c>
      <c r="H278" s="9" t="n"/>
      <c r="I278" s="10" t="n"/>
    </row>
    <row r="279">
      <c r="A279" s="13" t="inlineStr">
        <is>
          <t>REC2</t>
        </is>
      </c>
      <c r="B279" s="13" t="inlineStr">
        <is>
          <t>Recuperação: PIS/Cofins monofásico e ICMS-ST (jan/2026)</t>
        </is>
      </c>
      <c r="C279" s="14" t="inlineStr">
        <is>
          <t>Comércio (Anexo I), RBT12 R$ 4.800.000 (6ª faixa: ICMS fora do DAS); R$ 10.000 em cada</t>
        </is>
      </c>
      <c r="D279" s="13" t="inlineStr">
        <is>
          <t>PIS/Cofins pagos a mais (produtos monofásicos)</t>
        </is>
      </c>
      <c r="E279" s="15" t="n">
        <v>382.7</v>
      </c>
      <c r="F279" s="8" t="n"/>
      <c r="G279" s="15">
        <f>IF(F279="","",E279-F279)</f>
        <v/>
      </c>
      <c r="H279" s="13" t="n"/>
      <c r="I279" s="14" t="n"/>
    </row>
    <row r="280">
      <c r="A280" s="13" t="inlineStr">
        <is>
          <t>REC2</t>
        </is>
      </c>
      <c r="B280" s="13" t="inlineStr">
        <is>
          <t>Recuperação: PIS/Cofins monofásico e ICMS-ST (jan/2026)</t>
        </is>
      </c>
      <c r="C280" s="14" t="inlineStr">
        <is>
          <t>Comércio (Anexo I), RBT12 R$ 4.800.000 (6ª faixa: ICMS fora do DAS); R$ 10.000 em cada</t>
        </is>
      </c>
      <c r="D280" s="13" t="inlineStr">
        <is>
          <t>ICMS pago a mais (produtos com ST)</t>
        </is>
      </c>
      <c r="E280" s="15" t="n">
        <v>0</v>
      </c>
      <c r="F280" s="8" t="n"/>
      <c r="G280" s="15">
        <f>IF(F280="","",E280-F280)</f>
        <v/>
      </c>
      <c r="H280" s="13" t="n"/>
      <c r="I280" s="14" t="n"/>
    </row>
    <row r="281">
      <c r="A281" s="16" t="inlineStr">
        <is>
          <t>REC2</t>
        </is>
      </c>
      <c r="B281" s="16" t="inlineStr">
        <is>
          <t>Recuperação: PIS/Cofins monofásico e ICMS-ST (jan/2026)</t>
        </is>
      </c>
      <c r="C281" s="17" t="inlineStr">
        <is>
          <t>Comércio (Anexo I), RBT12 R$ 4.800.000 (6ª faixa: ICMS fora do DAS); R$ 10.000 em cada</t>
        </is>
      </c>
      <c r="D281" s="16" t="inlineStr">
        <is>
          <t>TOTAL</t>
        </is>
      </c>
      <c r="E281" s="18">
        <f>SUM(E279:E280)</f>
        <v/>
      </c>
      <c r="F281" s="12" t="n"/>
      <c r="G281" s="18">
        <f>IF(F281="","",E281-F281)</f>
        <v/>
      </c>
      <c r="H281" s="16" t="n"/>
      <c r="I281" s="17" t="n"/>
    </row>
    <row r="282">
      <c r="A282" s="5" t="inlineStr">
        <is>
          <t>REC3</t>
        </is>
      </c>
      <c r="B282" s="5" t="inlineStr">
        <is>
          <t>Recuperação: PIS/Cofins monofásico e ICMS-ST (jan/2026)</t>
        </is>
      </c>
      <c r="C282" s="6" t="inlineStr">
        <is>
          <t>Indústria (Anexo II), RBT12 R$ 600.000; R$ 8.000 em monofásicos e R$ 12.000 com ST</t>
        </is>
      </c>
      <c r="D282" s="5" t="inlineStr">
        <is>
          <t>PIS/Cofins pagos a mais (produtos monofásicos)</t>
        </is>
      </c>
      <c r="E282" s="7" t="n">
        <v>86.13</v>
      </c>
      <c r="F282" s="8" t="n"/>
      <c r="G282" s="7">
        <f>IF(F282="","",E282-F282)</f>
        <v/>
      </c>
      <c r="H282" s="5" t="n"/>
      <c r="I282" s="6" t="n"/>
    </row>
    <row r="283">
      <c r="A283" s="5" t="inlineStr">
        <is>
          <t>REC3</t>
        </is>
      </c>
      <c r="B283" s="5" t="inlineStr">
        <is>
          <t>Recuperação: PIS/Cofins monofásico e ICMS-ST (jan/2026)</t>
        </is>
      </c>
      <c r="C283" s="6" t="inlineStr">
        <is>
          <t>Indústria (Anexo II), RBT12 R$ 600.000; R$ 8.000 em monofásicos e R$ 12.000 com ST</t>
        </is>
      </c>
      <c r="D283" s="5" t="inlineStr">
        <is>
          <t>ICMS pago a mais (produtos com ST)</t>
        </is>
      </c>
      <c r="E283" s="7" t="n">
        <v>295.3</v>
      </c>
      <c r="F283" s="8" t="n"/>
      <c r="G283" s="7">
        <f>IF(F283="","",E283-F283)</f>
        <v/>
      </c>
      <c r="H283" s="5" t="n"/>
      <c r="I283" s="6" t="n"/>
    </row>
    <row r="284">
      <c r="A284" s="9" t="inlineStr">
        <is>
          <t>REC3</t>
        </is>
      </c>
      <c r="B284" s="9" t="inlineStr">
        <is>
          <t>Recuperação: PIS/Cofins monofásico e ICMS-ST (jan/2026)</t>
        </is>
      </c>
      <c r="C284" s="10" t="inlineStr">
        <is>
          <t>Indústria (Anexo II), RBT12 R$ 600.000; R$ 8.000 em monofásicos e R$ 12.000 com ST</t>
        </is>
      </c>
      <c r="D284" s="9" t="inlineStr">
        <is>
          <t>TOTAL</t>
        </is>
      </c>
      <c r="E284" s="11">
        <f>SUM(E282:E283)</f>
        <v/>
      </c>
      <c r="F284" s="12" t="n"/>
      <c r="G284" s="11">
        <f>IF(F284="","",E284-F284)</f>
        <v/>
      </c>
      <c r="H284" s="9" t="n"/>
      <c r="I284" s="10" t="n"/>
    </row>
    <row r="285">
      <c r="A285" s="13" t="inlineStr">
        <is>
          <t>AV1</t>
        </is>
      </c>
      <c r="B285" s="13" t="inlineStr">
        <is>
          <t>Avisos: fator R (2026)</t>
        </is>
      </c>
      <c r="C285" s="14" t="inlineStr">
        <is>
          <t>Serviços com fator R; receita R$ 600.000; folha CLT R$ 96.000; pró-labore R$ 60.000</t>
        </is>
      </c>
      <c r="D285" s="13" t="inlineStr">
        <is>
          <t>DAS no Anexo V (fator R abaixo de 28%)</t>
        </is>
      </c>
      <c r="E285" s="15" t="n">
        <v>107100</v>
      </c>
      <c r="F285" s="8" t="n"/>
      <c r="G285" s="15">
        <f>IF(F285="","",E285-F285)</f>
        <v/>
      </c>
      <c r="H285" s="13" t="n"/>
      <c r="I285" s="14" t="n"/>
    </row>
    <row r="286">
      <c r="A286" s="13" t="inlineStr">
        <is>
          <t>AV1</t>
        </is>
      </c>
      <c r="B286" s="13" t="inlineStr">
        <is>
          <t>Avisos: fator R (2026)</t>
        </is>
      </c>
      <c r="C286" s="14" t="inlineStr">
        <is>
          <t>Serviços com fator R; receita R$ 600.000; folha CLT R$ 96.000; pró-labore R$ 60.000</t>
        </is>
      </c>
      <c r="D286" s="13" t="inlineStr">
        <is>
          <t>DAS no Anexo III (fator R de 28%)</t>
        </is>
      </c>
      <c r="E286" s="15" t="n">
        <v>63360</v>
      </c>
      <c r="F286" s="8" t="n"/>
      <c r="G286" s="15">
        <f>IF(F286="","",E286-F286)</f>
        <v/>
      </c>
      <c r="H286" s="13" t="n"/>
      <c r="I286" s="14" t="n"/>
    </row>
    <row r="287">
      <c r="A287" s="13" t="inlineStr">
        <is>
          <t>AV1</t>
        </is>
      </c>
      <c r="B287" s="13" t="inlineStr">
        <is>
          <t>Avisos: fator R (2026)</t>
        </is>
      </c>
      <c r="C287" s="14" t="inlineStr">
        <is>
          <t>Serviços com fator R; receita R$ 600.000; folha CLT R$ 96.000; pró-labore R$ 60.000</t>
        </is>
      </c>
      <c r="D287" s="13" t="inlineStr">
        <is>
          <t>INSS do sócio sobre o pró-labore adicional</t>
        </is>
      </c>
      <c r="E287" s="15" t="n">
        <v>475.2</v>
      </c>
      <c r="F287" s="8" t="n"/>
      <c r="G287" s="15">
        <f>IF(F287="","",E287-F287)</f>
        <v/>
      </c>
      <c r="H287" s="13" t="n"/>
      <c r="I287" s="14" t="n"/>
    </row>
    <row r="288">
      <c r="A288" s="13" t="inlineStr">
        <is>
          <t>AV1</t>
        </is>
      </c>
      <c r="B288" s="13" t="inlineStr">
        <is>
          <t>Avisos: fator R (2026)</t>
        </is>
      </c>
      <c r="C288" s="14" t="inlineStr">
        <is>
          <t>Serviços com fator R; receita R$ 600.000; folha CLT R$ 96.000; pró-labore R$ 60.000</t>
        </is>
      </c>
      <c r="D288" s="13" t="inlineStr">
        <is>
          <t>Ganho líquido anual</t>
        </is>
      </c>
      <c r="E288" s="15" t="n">
        <v>43264.8</v>
      </c>
      <c r="F288" s="8" t="n"/>
      <c r="G288" s="15">
        <f>IF(F288="","",E288-F288)</f>
        <v/>
      </c>
      <c r="H288" s="13" t="n"/>
      <c r="I288" s="14" t="n"/>
    </row>
    <row r="289">
      <c r="A289" s="5" t="inlineStr">
        <is>
          <t>AV2</t>
        </is>
      </c>
      <c r="B289" s="5" t="inlineStr">
        <is>
          <t>Avisos: fator R (2026)</t>
        </is>
      </c>
      <c r="C289" s="6" t="inlineStr">
        <is>
          <t>Serviços com fator R; receita R$ 600.000; folha CLT R$ 96.000; pró-labore R$ 72.000</t>
        </is>
      </c>
      <c r="D289" s="5" t="inlineStr">
        <is>
          <t>DAS no Anexo V (fator R abaixo de 28%)</t>
        </is>
      </c>
      <c r="E289" s="7" t="n">
        <v>107100</v>
      </c>
      <c r="F289" s="8" t="n"/>
      <c r="G289" s="7">
        <f>IF(F289="","",E289-F289)</f>
        <v/>
      </c>
      <c r="H289" s="5" t="n"/>
      <c r="I289" s="6" t="n"/>
    </row>
    <row r="290">
      <c r="A290" s="5" t="inlineStr">
        <is>
          <t>AV2</t>
        </is>
      </c>
      <c r="B290" s="5" t="inlineStr">
        <is>
          <t>Avisos: fator R (2026)</t>
        </is>
      </c>
      <c r="C290" s="6" t="inlineStr">
        <is>
          <t>Serviços com fator R; receita R$ 600.000; folha CLT R$ 96.000; pró-labore R$ 72.000</t>
        </is>
      </c>
      <c r="D290" s="5" t="inlineStr">
        <is>
          <t>DAS no Anexo III (fator R de 28%)</t>
        </is>
      </c>
      <c r="E290" s="7" t="n">
        <v>63360</v>
      </c>
      <c r="F290" s="8" t="n"/>
      <c r="G290" s="7">
        <f>IF(F290="","",E290-F290)</f>
        <v/>
      </c>
      <c r="H290" s="5" t="n"/>
      <c r="I290" s="6" t="n"/>
    </row>
    <row r="291">
      <c r="A291" s="5" t="inlineStr">
        <is>
          <t>AV2</t>
        </is>
      </c>
      <c r="B291" s="5" t="inlineStr">
        <is>
          <t>Avisos: fator R (2026)</t>
        </is>
      </c>
      <c r="C291" s="6" t="inlineStr">
        <is>
          <t>Serviços com fator R; receita R$ 600.000; folha CLT R$ 96.000; pró-labore R$ 72.000</t>
        </is>
      </c>
      <c r="D291" s="5" t="inlineStr">
        <is>
          <t>Impacto anual se cair para o Anexo V</t>
        </is>
      </c>
      <c r="E291" s="7" t="n">
        <v>43740</v>
      </c>
      <c r="F291" s="8" t="n"/>
      <c r="G291" s="7">
        <f>IF(F291="","",E291-F291)</f>
        <v/>
      </c>
      <c r="H291" s="5" t="n"/>
      <c r="I291" s="6" t="n"/>
    </row>
  </sheetData>
  <autoFilter ref="A1:I29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34"/>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t>
        </is>
      </c>
      <c r="C347" s="6" t="inlineStr">
        <is>
          <t>RBT12 R$ 2.000.000,00</t>
        </is>
      </c>
      <c r="D347" s="7" t="n">
        <v>0.09934999999999999</v>
      </c>
      <c r="E347" s="6" t="inlineStr">
        <is>
          <t>LC 123/2006, art. 18, §1º e §1º-A</t>
        </is>
      </c>
    </row>
    <row r="348">
      <c r="A348" s="5" t="inlineStr">
        <is>
          <t>SR1-2027</t>
        </is>
      </c>
      <c r="B348" s="6" t="inlineStr">
        <is>
          <t>Alíquota da fatia do DAS substituída por IBS/CBS</t>
        </is>
      </c>
      <c r="C348" s="6" t="inlineStr">
        <is>
          <t>PIS 2,76% + COFINS 12,74% = 15,50% do DAS</t>
        </is>
      </c>
      <c r="D348" s="19" t="n">
        <v>0.155</v>
      </c>
      <c r="E348" s="6" t="inlineStr">
        <is>
          <t>LC 123/2006, tabelas de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t>
        </is>
      </c>
      <c r="C353" s="6" t="inlineStr">
        <is>
          <t>RBT12 R$ 2.000.000,00</t>
        </is>
      </c>
      <c r="D353" s="7" t="n">
        <v>0.09934999999999999</v>
      </c>
      <c r="E353" s="6" t="inlineStr">
        <is>
          <t>LC 123/2006, art. 18, §1º e §1º-A</t>
        </is>
      </c>
    </row>
    <row r="354">
      <c r="A354" s="5" t="inlineStr">
        <is>
          <t>SR1-2033</t>
        </is>
      </c>
      <c r="B354" s="6" t="inlineStr">
        <is>
          <t>Alíquota da fatia do DAS substituída por IBS/CBS</t>
        </is>
      </c>
      <c r="C354" s="6" t="inlineStr">
        <is>
          <t>PIS 2,76% + COFINS 12,74% + ICMS 33,50% = 49,00% do DAS</t>
        </is>
      </c>
      <c r="D354" s="19" t="n">
        <v>0.49</v>
      </c>
      <c r="E354" s="6" t="inlineStr">
        <is>
          <t>LC 123/2006, tabelas de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t>
        </is>
      </c>
      <c r="C359" s="6" t="inlineStr">
        <is>
          <t>RBT12 R$ 600.000,00</t>
        </is>
      </c>
      <c r="D359" s="7" t="n">
        <v>0.1056</v>
      </c>
      <c r="E359" s="6" t="inlineStr">
        <is>
          <t>LC 123/2006, art. 18, §1º e §1º-A</t>
        </is>
      </c>
    </row>
    <row r="360">
      <c r="A360" s="5" t="inlineStr">
        <is>
          <t>SR2-2027</t>
        </is>
      </c>
      <c r="B360" s="6" t="inlineStr">
        <is>
          <t>Alíquota da fatia do DAS substituída por IBS/CBS</t>
        </is>
      </c>
      <c r="C360" s="6" t="inlineStr">
        <is>
          <t>PIS 2,96% + COFINS 13,64% = 16,60% do DAS</t>
        </is>
      </c>
      <c r="D360" s="19" t="n">
        <v>0.166</v>
      </c>
      <c r="E360" s="6" t="inlineStr">
        <is>
          <t>LC 123/2006, tabelas de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t>
        </is>
      </c>
      <c r="C365" s="6" t="inlineStr">
        <is>
          <t>RBT12 R$ 600.000,00</t>
        </is>
      </c>
      <c r="D365" s="7" t="n">
        <v>0.1056</v>
      </c>
      <c r="E365" s="6" t="inlineStr">
        <is>
          <t>LC 123/2006, art. 18, §1º e §1º-A</t>
        </is>
      </c>
    </row>
    <row r="366">
      <c r="A366" s="5" t="inlineStr">
        <is>
          <t>SR2-2033</t>
        </is>
      </c>
      <c r="B366" s="6" t="inlineStr">
        <is>
          <t>Alíquota da fatia do DAS substituída por IBS/CBS</t>
        </is>
      </c>
      <c r="C366" s="6" t="inlineStr">
        <is>
          <t>PIS 2,96% + COFINS 13,64% + ISS 32,50% = 49,10% do DAS</t>
        </is>
      </c>
      <c r="D366" s="19" t="n">
        <v>0.491</v>
      </c>
      <c r="E366" s="6" t="inlineStr">
        <is>
          <t>LC 123/2006, tabelas de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t>
        </is>
      </c>
      <c r="C371" s="6" t="inlineStr">
        <is>
          <t>RBT12 R$ 1.200.000,00</t>
        </is>
      </c>
      <c r="D371" s="7" t="n">
        <v>0.1303</v>
      </c>
      <c r="E371" s="6" t="inlineStr">
        <is>
          <t>LC 123/2006, art. 18, §1º e §1º-A</t>
        </is>
      </c>
    </row>
    <row r="372">
      <c r="A372" s="5" t="inlineStr">
        <is>
          <t>SR3-2027</t>
        </is>
      </c>
      <c r="B372" s="6" t="inlineStr">
        <is>
          <t>Alíquota da fatia do DAS substituída por IBS/CBS</t>
        </is>
      </c>
      <c r="C372" s="6" t="inlineStr">
        <is>
          <t>PIS 2,96% + COFINS 13,64% = 16,60% do DAS</t>
        </is>
      </c>
      <c r="D372" s="19" t="n">
        <v>0.166</v>
      </c>
      <c r="E372" s="6" t="inlineStr">
        <is>
          <t>LC 123/2006, tabelas de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t>
        </is>
      </c>
      <c r="C377" s="6" t="inlineStr">
        <is>
          <t>RBT12 R$ 1.200.000,00</t>
        </is>
      </c>
      <c r="D377" s="7" t="n">
        <v>0.1303</v>
      </c>
      <c r="E377" s="6" t="inlineStr">
        <is>
          <t>LC 123/2006, art. 18, §1º e §1º-A</t>
        </is>
      </c>
    </row>
    <row r="378">
      <c r="A378" s="5" t="inlineStr">
        <is>
          <t>SR3-2033</t>
        </is>
      </c>
      <c r="B378" s="6" t="inlineStr">
        <is>
          <t>Alíquota da fatia do DAS substituída por IBS/CBS</t>
        </is>
      </c>
      <c r="C378" s="6" t="inlineStr">
        <is>
          <t>PIS 2,96% + COFINS 13,64% + ISS 32,50% = 49,10% do DAS</t>
        </is>
      </c>
      <c r="D378" s="19" t="n">
        <v>0.491</v>
      </c>
      <c r="E378" s="6" t="inlineStr">
        <is>
          <t>LC 123/2006, tabelas de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AU1-PF</t>
        </is>
      </c>
      <c r="B383" s="6" t="inlineStr">
        <is>
          <t>INSS contribuinte individual</t>
        </is>
      </c>
      <c r="C383" s="6" t="inlineStr">
        <is>
          <t>20% x mín(R$ 6.000,00; teto R$ 8.475,55)</t>
        </is>
      </c>
      <c r="D383" s="7" t="n">
        <v>1200</v>
      </c>
      <c r="E383" s="6" t="inlineStr">
        <is>
          <t>Lei 8.212/1991, art. 21</t>
        </is>
      </c>
    </row>
    <row r="384">
      <c r="A384" s="5" t="inlineStr">
        <is>
          <t>AU1-PF</t>
        </is>
      </c>
      <c r="B384" s="6" t="inlineStr">
        <is>
          <t>Dedução aplicada</t>
        </is>
      </c>
      <c r="C384" s="6" t="inlineStr">
        <is>
          <t>maior entre deduções legais R$ 1.200,00 e desconto simplificado R$ 607,20</t>
        </is>
      </c>
      <c r="D384" s="7" t="n">
        <v>1200</v>
      </c>
      <c r="E384" s="6" t="inlineStr">
        <is>
          <t>Lei 9.250/1995, art. 4º; Lei 15.191/2025</t>
        </is>
      </c>
    </row>
    <row r="385">
      <c r="A385" s="5" t="inlineStr">
        <is>
          <t>AU1-PF</t>
        </is>
      </c>
      <c r="B385" s="6" t="inlineStr">
        <is>
          <t>Base de cálculo</t>
        </is>
      </c>
      <c r="C385" s="6" t="inlineStr">
        <is>
          <t>R$ 6.000,00 - R$ 1.200,00</t>
        </is>
      </c>
      <c r="D385" s="7" t="n">
        <v>4800</v>
      </c>
      <c r="E385" s="6" t="inlineStr"/>
    </row>
    <row r="386">
      <c r="A386" s="5" t="inlineStr">
        <is>
          <t>AU1-PF</t>
        </is>
      </c>
      <c r="B386" s="6" t="inlineStr">
        <is>
          <t>Imposto pela tabela progressiva</t>
        </is>
      </c>
      <c r="C386" s="6" t="inlineStr">
        <is>
          <t>R$ 4.800,00 x 27,5% - R$ 908,73</t>
        </is>
      </c>
      <c r="D386" s="7" t="n">
        <v>411.27</v>
      </c>
      <c r="E386" s="6" t="inlineStr">
        <is>
          <t>Lei 15.191/2025 (tabela) + Lei 15.270/2025 (redução)</t>
        </is>
      </c>
    </row>
    <row r="387">
      <c r="A387" s="5" t="inlineStr">
        <is>
          <t>AU1-PF</t>
        </is>
      </c>
      <c r="B387" s="6" t="inlineStr">
        <is>
          <t>Redução Lei 15.270/2025</t>
        </is>
      </c>
      <c r="C387" s="6" t="inlineStr">
        <is>
          <t>R$ 978,62 - 0.133145 x R$ 6.000,00</t>
        </is>
      </c>
      <c r="D387" s="7" t="n">
        <v>179.75</v>
      </c>
      <c r="E387" s="6" t="inlineStr">
        <is>
          <t>Lei 15.270/2025</t>
        </is>
      </c>
    </row>
    <row r="388">
      <c r="A388" s="5" t="inlineStr">
        <is>
          <t>AU1-MEI</t>
        </is>
      </c>
      <c r="B388" s="6" t="inlineStr">
        <is>
          <t>INSS do MEI</t>
        </is>
      </c>
      <c r="C388" s="6" t="inlineStr">
        <is>
          <t>5% x salário mínimo R$ 1.621,00</t>
        </is>
      </c>
      <c r="D388" s="7" t="n">
        <v>81.05</v>
      </c>
      <c r="E388" s="6" t="inlineStr">
        <is>
          <t>LC 123/2006, art. 18-A</t>
        </is>
      </c>
    </row>
    <row r="389">
      <c r="A389" s="5" t="inlineStr">
        <is>
          <t>AU1-MEI</t>
        </is>
      </c>
      <c r="B389" s="6" t="inlineStr">
        <is>
          <t>ISS fixo</t>
        </is>
      </c>
      <c r="C389" s="6" t="inlineStr">
        <is>
          <t>valor fixo mensal</t>
        </is>
      </c>
      <c r="D389" s="7" t="n">
        <v>5</v>
      </c>
      <c r="E389" s="6" t="inlineStr">
        <is>
          <t>LC 123/2006, art. 18-A, §3º</t>
        </is>
      </c>
    </row>
    <row r="390">
      <c r="A390" s="5" t="inlineStr">
        <is>
          <t>AU1-SN</t>
        </is>
      </c>
      <c r="B390" s="6" t="inlineStr">
        <is>
          <t>Fator R (folha 12 meses / RBT12)</t>
        </is>
      </c>
      <c r="C390" s="6" t="inlineStr">
        <is>
          <t>R$ 20.160,12 (salários + pró-labore + FGTS 8%) / R$ 72.000,00 = 28,00% -&gt; Anexo III</t>
        </is>
      </c>
      <c r="D390" s="19" t="n">
        <v>0.2800016666666666</v>
      </c>
      <c r="E390" s="6" t="inlineStr">
        <is>
          <t>LC 123/2006, art. 18, §5º-J, §5º-M e §24</t>
        </is>
      </c>
    </row>
    <row r="391">
      <c r="A391" s="5" t="inlineStr">
        <is>
          <t>AU1-SN</t>
        </is>
      </c>
      <c r="B391" s="6" t="inlineStr">
        <is>
          <t>Alíquota efetiva - Anexo III, 1ª faixa</t>
        </is>
      </c>
      <c r="C391" s="6" t="inlineStr">
        <is>
          <t>(R$ 72.000,00 x 6,00% - R$ 0,00) / R$ 72.000,00 = 6,0000%</t>
        </is>
      </c>
      <c r="D391" s="19" t="n">
        <v>0.06</v>
      </c>
      <c r="E391" s="6" t="inlineStr">
        <is>
          <t>LC 123/2006, art. 18, §1º e §1º-A</t>
        </is>
      </c>
    </row>
    <row r="392">
      <c r="A392" s="5" t="inlineStr">
        <is>
          <t>AU1-SN</t>
        </is>
      </c>
      <c r="B392" s="6" t="inlineStr">
        <is>
          <t>DAS anual</t>
        </is>
      </c>
      <c r="C392" s="6" t="inlineStr">
        <is>
          <t>R$ 72.000,00 x 6,0000%</t>
        </is>
      </c>
      <c r="D392" s="7" t="n">
        <v>4320</v>
      </c>
      <c r="E392" s="6" t="inlineStr">
        <is>
          <t>LC 123/2006, art. 13</t>
        </is>
      </c>
    </row>
    <row r="393">
      <c r="A393" s="5" t="inlineStr">
        <is>
          <t>AU1-SN</t>
        </is>
      </c>
      <c r="B393" s="6" t="inlineStr">
        <is>
          <t>DAS mensal</t>
        </is>
      </c>
      <c r="C393" s="6" t="inlineStr">
        <is>
          <t>R$ 4.320,00 / 12</t>
        </is>
      </c>
      <c r="D393" s="7" t="n">
        <v>360</v>
      </c>
      <c r="E393" s="6" t="inlineStr"/>
    </row>
    <row r="394">
      <c r="A394" s="5" t="inlineStr">
        <is>
          <t>AU1-SN</t>
        </is>
      </c>
      <c r="B394" s="6" t="inlineStr">
        <is>
          <t>INSS do sócio</t>
        </is>
      </c>
      <c r="C394" s="6" t="inlineStr">
        <is>
          <t>R$ 1.680,01 x 11%</t>
        </is>
      </c>
      <c r="D394" s="7" t="n">
        <v>184.8</v>
      </c>
      <c r="E394" s="6" t="inlineStr">
        <is>
          <t>Lei 8.212/1991, art. 21</t>
        </is>
      </c>
    </row>
    <row r="395">
      <c r="A395" s="5" t="inlineStr">
        <is>
          <t>AU1-LP</t>
        </is>
      </c>
      <c r="B395" s="6" t="inlineStr">
        <is>
          <t>Percentuais de presunção</t>
        </is>
      </c>
      <c r="C395" s="6" t="inlineStr">
        <is>
          <t>Prestação de serviços em geral: IRPJ 32,0%, CSLL 32,0%</t>
        </is>
      </c>
      <c r="D395" s="19" t="n">
        <v>0.32</v>
      </c>
      <c r="E395" s="6" t="inlineStr">
        <is>
          <t>Lei 9.249/1995, art. 15, §1º e art. 20</t>
        </is>
      </c>
    </row>
    <row r="396">
      <c r="A396" s="5" t="inlineStr">
        <is>
          <t>AU1-LP</t>
        </is>
      </c>
      <c r="B396" s="6" t="inlineStr">
        <is>
          <t>1º tri - base presumida IRPJ</t>
        </is>
      </c>
      <c r="C396" s="6" t="inlineStr">
        <is>
          <t>R$ 18.000,00 x 32,0%</t>
        </is>
      </c>
      <c r="D396" s="7" t="n">
        <v>5760</v>
      </c>
      <c r="E396" s="6" t="inlineStr">
        <is>
          <t>Lei 9.249/1995, arts. 15 e 20</t>
        </is>
      </c>
    </row>
    <row r="397">
      <c r="A397" s="5" t="inlineStr">
        <is>
          <t>AU1-LP</t>
        </is>
      </c>
      <c r="B397" s="6" t="inlineStr">
        <is>
          <t>1º tri - IRPJ</t>
        </is>
      </c>
      <c r="C397" s="6" t="inlineStr">
        <is>
          <t>R$ 5.760,00 x 15% + adicional 10% sobre o que exceder R$ 60.000,00</t>
        </is>
      </c>
      <c r="D397" s="7" t="n">
        <v>864</v>
      </c>
      <c r="E397" s="6" t="inlineStr">
        <is>
          <t>Lei 9.430/1996, arts. 3º e 4º</t>
        </is>
      </c>
    </row>
    <row r="398">
      <c r="A398" s="5" t="inlineStr">
        <is>
          <t>AU1-LP</t>
        </is>
      </c>
      <c r="B398" s="6" t="inlineStr">
        <is>
          <t>1º tri - base presumida CSLL</t>
        </is>
      </c>
      <c r="C398" s="6" t="inlineStr">
        <is>
          <t>R$ 18.000,00 x 32,0%</t>
        </is>
      </c>
      <c r="D398" s="7" t="n">
        <v>5760</v>
      </c>
      <c r="E398" s="6" t="inlineStr">
        <is>
          <t>Lei 9.249/1995, arts. 15 e 20</t>
        </is>
      </c>
    </row>
    <row r="399">
      <c r="A399" s="5" t="inlineStr">
        <is>
          <t>AU1-LP</t>
        </is>
      </c>
      <c r="B399" s="6" t="inlineStr">
        <is>
          <t>1º tri - CSLL</t>
        </is>
      </c>
      <c r="C399" s="6" t="inlineStr">
        <is>
          <t>R$ 5.760,00 x 9%</t>
        </is>
      </c>
      <c r="D399" s="7" t="n">
        <v>518.4</v>
      </c>
      <c r="E399" s="6" t="inlineStr">
        <is>
          <t>Lei 7.689/1988, art. 3º</t>
        </is>
      </c>
    </row>
    <row r="400">
      <c r="A400" s="5" t="inlineStr">
        <is>
          <t>AU1-LP</t>
        </is>
      </c>
      <c r="B400" s="6" t="inlineStr">
        <is>
          <t>2º tri - base presumida IRPJ</t>
        </is>
      </c>
      <c r="C400" s="6" t="inlineStr">
        <is>
          <t>R$ 18.000,00 x 32,0%</t>
        </is>
      </c>
      <c r="D400" s="7" t="n">
        <v>5760</v>
      </c>
      <c r="E400" s="6" t="inlineStr">
        <is>
          <t>Lei 9.249/1995, arts. 15 e 20</t>
        </is>
      </c>
    </row>
    <row r="401">
      <c r="A401" s="5" t="inlineStr">
        <is>
          <t>AU1-LP</t>
        </is>
      </c>
      <c r="B401" s="6" t="inlineStr">
        <is>
          <t>2º tri - IRPJ</t>
        </is>
      </c>
      <c r="C401" s="6" t="inlineStr">
        <is>
          <t>R$ 5.760,00 x 15% + adicional 10% sobre o que exceder R$ 60.000,00</t>
        </is>
      </c>
      <c r="D401" s="7" t="n">
        <v>864</v>
      </c>
      <c r="E401" s="6" t="inlineStr">
        <is>
          <t>Lei 9.430/1996, arts. 3º e 4º</t>
        </is>
      </c>
    </row>
    <row r="402">
      <c r="A402" s="5" t="inlineStr">
        <is>
          <t>AU1-LP</t>
        </is>
      </c>
      <c r="B402" s="6" t="inlineStr">
        <is>
          <t>2º tri - base presumida CSLL</t>
        </is>
      </c>
      <c r="C402" s="6" t="inlineStr">
        <is>
          <t>R$ 18.000,00 x 32,0%</t>
        </is>
      </c>
      <c r="D402" s="7" t="n">
        <v>5760</v>
      </c>
      <c r="E402" s="6" t="inlineStr">
        <is>
          <t>Lei 9.249/1995, arts. 15 e 20</t>
        </is>
      </c>
    </row>
    <row r="403">
      <c r="A403" s="5" t="inlineStr">
        <is>
          <t>AU1-LP</t>
        </is>
      </c>
      <c r="B403" s="6" t="inlineStr">
        <is>
          <t>2º tri - CSLL</t>
        </is>
      </c>
      <c r="C403" s="6" t="inlineStr">
        <is>
          <t>R$ 5.760,00 x 9%</t>
        </is>
      </c>
      <c r="D403" s="7" t="n">
        <v>518.4</v>
      </c>
      <c r="E403" s="6" t="inlineStr">
        <is>
          <t>Lei 7.689/1988, art. 3º</t>
        </is>
      </c>
    </row>
    <row r="404">
      <c r="A404" s="5" t="inlineStr">
        <is>
          <t>AU1-LP</t>
        </is>
      </c>
      <c r="B404" s="6" t="inlineStr">
        <is>
          <t>3º tri - base presumida IRPJ</t>
        </is>
      </c>
      <c r="C404" s="6" t="inlineStr">
        <is>
          <t>R$ 18.000,00 x 32,0%</t>
        </is>
      </c>
      <c r="D404" s="7" t="n">
        <v>5760</v>
      </c>
      <c r="E404" s="6" t="inlineStr">
        <is>
          <t>Lei 9.249/1995, arts. 15 e 20</t>
        </is>
      </c>
    </row>
    <row r="405">
      <c r="A405" s="5" t="inlineStr">
        <is>
          <t>AU1-LP</t>
        </is>
      </c>
      <c r="B405" s="6" t="inlineStr">
        <is>
          <t>3º tri - IRPJ</t>
        </is>
      </c>
      <c r="C405" s="6" t="inlineStr">
        <is>
          <t>R$ 5.760,00 x 15% + adicional 10% sobre o que exceder R$ 60.000,00</t>
        </is>
      </c>
      <c r="D405" s="7" t="n">
        <v>864</v>
      </c>
      <c r="E405" s="6" t="inlineStr">
        <is>
          <t>Lei 9.430/1996, arts. 3º e 4º</t>
        </is>
      </c>
    </row>
    <row r="406">
      <c r="A406" s="5" t="inlineStr">
        <is>
          <t>AU1-LP</t>
        </is>
      </c>
      <c r="B406" s="6" t="inlineStr">
        <is>
          <t>3º tri - base presumida CSLL</t>
        </is>
      </c>
      <c r="C406" s="6" t="inlineStr">
        <is>
          <t>R$ 18.000,00 x 32,0%</t>
        </is>
      </c>
      <c r="D406" s="7" t="n">
        <v>5760</v>
      </c>
      <c r="E406" s="6" t="inlineStr">
        <is>
          <t>Lei 9.249/1995, arts. 15 e 20</t>
        </is>
      </c>
    </row>
    <row r="407">
      <c r="A407" s="5" t="inlineStr">
        <is>
          <t>AU1-LP</t>
        </is>
      </c>
      <c r="B407" s="6" t="inlineStr">
        <is>
          <t>3º tri - CSLL</t>
        </is>
      </c>
      <c r="C407" s="6" t="inlineStr">
        <is>
          <t>R$ 5.760,00 x 9%</t>
        </is>
      </c>
      <c r="D407" s="7" t="n">
        <v>518.4</v>
      </c>
      <c r="E407" s="6" t="inlineStr">
        <is>
          <t>Lei 7.689/1988, art. 3º</t>
        </is>
      </c>
    </row>
    <row r="408">
      <c r="A408" s="5" t="inlineStr">
        <is>
          <t>AU1-LP</t>
        </is>
      </c>
      <c r="B408" s="6" t="inlineStr">
        <is>
          <t>4º tri - base presumida IRPJ</t>
        </is>
      </c>
      <c r="C408" s="6" t="inlineStr">
        <is>
          <t>R$ 18.000,00 x 32,0%</t>
        </is>
      </c>
      <c r="D408" s="7" t="n">
        <v>5760</v>
      </c>
      <c r="E408" s="6" t="inlineStr">
        <is>
          <t>Lei 9.249/1995, arts. 15 e 20</t>
        </is>
      </c>
    </row>
    <row r="409">
      <c r="A409" s="5" t="inlineStr">
        <is>
          <t>AU1-LP</t>
        </is>
      </c>
      <c r="B409" s="6" t="inlineStr">
        <is>
          <t>4º tri - IRPJ</t>
        </is>
      </c>
      <c r="C409" s="6" t="inlineStr">
        <is>
          <t>R$ 5.760,00 x 15% + adicional 10% sobre o que exceder R$ 60.000,00</t>
        </is>
      </c>
      <c r="D409" s="7" t="n">
        <v>864</v>
      </c>
      <c r="E409" s="6" t="inlineStr">
        <is>
          <t>Lei 9.430/1996, arts. 3º e 4º</t>
        </is>
      </c>
    </row>
    <row r="410">
      <c r="A410" s="5" t="inlineStr">
        <is>
          <t>AU1-LP</t>
        </is>
      </c>
      <c r="B410" s="6" t="inlineStr">
        <is>
          <t>4º tri - base presumida CSLL</t>
        </is>
      </c>
      <c r="C410" s="6" t="inlineStr">
        <is>
          <t>R$ 18.000,00 x 32,0%</t>
        </is>
      </c>
      <c r="D410" s="7" t="n">
        <v>5760</v>
      </c>
      <c r="E410" s="6" t="inlineStr">
        <is>
          <t>Lei 9.249/1995, arts. 15 e 20</t>
        </is>
      </c>
    </row>
    <row r="411">
      <c r="A411" s="5" t="inlineStr">
        <is>
          <t>AU1-LP</t>
        </is>
      </c>
      <c r="B411" s="6" t="inlineStr">
        <is>
          <t>4º tri - CSLL</t>
        </is>
      </c>
      <c r="C411" s="6" t="inlineStr">
        <is>
          <t>R$ 5.760,00 x 9%</t>
        </is>
      </c>
      <c r="D411" s="7" t="n">
        <v>518.4</v>
      </c>
      <c r="E411" s="6" t="inlineStr">
        <is>
          <t>Lei 7.689/1988, art. 3º</t>
        </is>
      </c>
    </row>
    <row r="412">
      <c r="A412" s="5" t="inlineStr">
        <is>
          <t>AU1-LP</t>
        </is>
      </c>
      <c r="B412" s="6" t="inlineStr">
        <is>
          <t>PIS cumulativo</t>
        </is>
      </c>
      <c r="C412" s="6" t="inlineStr">
        <is>
          <t>R$ 72.000,00 x 0,65%</t>
        </is>
      </c>
      <c r="D412" s="7" t="n">
        <v>468</v>
      </c>
      <c r="E412" s="6" t="inlineStr">
        <is>
          <t>Lei 9.715/1998</t>
        </is>
      </c>
    </row>
    <row r="413">
      <c r="A413" s="5" t="inlineStr">
        <is>
          <t>AU1-LP</t>
        </is>
      </c>
      <c r="B413" s="6" t="inlineStr">
        <is>
          <t>Cofins cumulativa</t>
        </is>
      </c>
      <c r="C413" s="6" t="inlineStr">
        <is>
          <t>R$ 72.000,00 x 3,00%</t>
        </is>
      </c>
      <c r="D413" s="7" t="n">
        <v>2160</v>
      </c>
      <c r="E413" s="6" t="inlineStr">
        <is>
          <t>Lei 9.718/1998</t>
        </is>
      </c>
    </row>
    <row r="414">
      <c r="A414" s="5" t="inlineStr">
        <is>
          <t>AU1-LP</t>
        </is>
      </c>
      <c r="B414" s="6" t="inlineStr">
        <is>
          <t>ISS</t>
        </is>
      </c>
      <c r="C414" s="6" t="inlineStr">
        <is>
          <t>R$ 72.000,00 x 5,00%</t>
        </is>
      </c>
      <c r="D414" s="7" t="n">
        <v>3600</v>
      </c>
      <c r="E414" s="6" t="inlineStr">
        <is>
          <t>LC 116/2003 e lei municipal</t>
        </is>
      </c>
    </row>
    <row r="415">
      <c r="A415" s="5" t="inlineStr">
        <is>
          <t>AU1-LP</t>
        </is>
      </c>
      <c r="B415" s="6" t="inlineStr">
        <is>
          <t>INSS patronal sobre a folha CLT</t>
        </is>
      </c>
      <c r="C415" s="6" t="inlineStr">
        <is>
          <t>R$ 0,00 x (20,00% CPP + 2,00% RAT + 5,80% terceiros)</t>
        </is>
      </c>
      <c r="D415" s="7" t="n">
        <v>0</v>
      </c>
      <c r="E415" s="6" t="inlineStr">
        <is>
          <t>Lei 8.212/1991, art. 22, I e II</t>
        </is>
      </c>
    </row>
    <row r="416">
      <c r="A416" s="5" t="inlineStr">
        <is>
          <t>AU1-LP</t>
        </is>
      </c>
      <c r="B416" s="6" t="inlineStr">
        <is>
          <t>INSS patronal sobre o pró-labore</t>
        </is>
      </c>
      <c r="C416" s="6" t="inlineStr">
        <is>
          <t>R$ 19.452,00 x 20,00%</t>
        </is>
      </c>
      <c r="D416" s="7" t="n">
        <v>3890.4</v>
      </c>
      <c r="E416" s="6" t="inlineStr">
        <is>
          <t>Lei 8.212/1991, art. 22, III</t>
        </is>
      </c>
    </row>
    <row r="417">
      <c r="A417" s="5" t="inlineStr">
        <is>
          <t>AU1-LP</t>
        </is>
      </c>
      <c r="B417" s="6" t="inlineStr">
        <is>
          <t>IRPJ mensal</t>
        </is>
      </c>
      <c r="C417" s="6" t="inlineStr">
        <is>
          <t>R$ 3.456,00 / 12</t>
        </is>
      </c>
      <c r="D417" s="7" t="n">
        <v>288</v>
      </c>
      <c r="E417" s="6" t="inlineStr"/>
    </row>
    <row r="418">
      <c r="A418" s="5" t="inlineStr">
        <is>
          <t>AU1-LP</t>
        </is>
      </c>
      <c r="B418" s="6" t="inlineStr">
        <is>
          <t>CSLL mensal</t>
        </is>
      </c>
      <c r="C418" s="6" t="inlineStr">
        <is>
          <t>R$ 2.073,60 / 12</t>
        </is>
      </c>
      <c r="D418" s="7" t="n">
        <v>172.8</v>
      </c>
      <c r="E418" s="6" t="inlineStr"/>
    </row>
    <row r="419">
      <c r="A419" s="5" t="inlineStr">
        <is>
          <t>AU1-LP</t>
        </is>
      </c>
      <c r="B419" s="6" t="inlineStr">
        <is>
          <t>PIS mensal</t>
        </is>
      </c>
      <c r="C419" s="6" t="inlineStr">
        <is>
          <t>R$ 468,00 / 12</t>
        </is>
      </c>
      <c r="D419" s="7" t="n">
        <v>39</v>
      </c>
      <c r="E419" s="6" t="inlineStr"/>
    </row>
    <row r="420">
      <c r="A420" s="5" t="inlineStr">
        <is>
          <t>AU1-LP</t>
        </is>
      </c>
      <c r="B420" s="6" t="inlineStr">
        <is>
          <t>Cofins mensal</t>
        </is>
      </c>
      <c r="C420" s="6" t="inlineStr">
        <is>
          <t>R$ 2.160,00 / 12</t>
        </is>
      </c>
      <c r="D420" s="7" t="n">
        <v>180</v>
      </c>
      <c r="E420" s="6" t="inlineStr"/>
    </row>
    <row r="421">
      <c r="A421" s="5" t="inlineStr">
        <is>
          <t>AU1-LP</t>
        </is>
      </c>
      <c r="B421" s="6" t="inlineStr">
        <is>
          <t>ISS mensal</t>
        </is>
      </c>
      <c r="C421" s="6" t="inlineStr">
        <is>
          <t>R$ 3.600,00 / 12</t>
        </is>
      </c>
      <c r="D421" s="7" t="n">
        <v>300</v>
      </c>
      <c r="E421" s="6" t="inlineStr"/>
    </row>
    <row r="422">
      <c r="A422" s="5" t="inlineStr">
        <is>
          <t>AU1-LP</t>
        </is>
      </c>
      <c r="B422" s="6" t="inlineStr">
        <is>
          <t>INSS patronal mensal</t>
        </is>
      </c>
      <c r="C422" s="6" t="inlineStr">
        <is>
          <t>R$ 3.890,40 / 12</t>
        </is>
      </c>
      <c r="D422" s="7" t="n">
        <v>324.2</v>
      </c>
      <c r="E422" s="6" t="inlineStr"/>
    </row>
    <row r="423">
      <c r="A423" s="5" t="inlineStr">
        <is>
          <t>AU1-LP</t>
        </is>
      </c>
      <c r="B423" s="6" t="inlineStr">
        <is>
          <t>INSS do sócio</t>
        </is>
      </c>
      <c r="C423" s="6" t="inlineStr">
        <is>
          <t>R$ 1.621,00 x 11%</t>
        </is>
      </c>
      <c r="D423" s="7" t="n">
        <v>178.31</v>
      </c>
      <c r="E423" s="6" t="inlineStr">
        <is>
          <t>Lei 8.212/1991, art. 21</t>
        </is>
      </c>
    </row>
    <row r="424">
      <c r="A424" s="5" t="inlineStr">
        <is>
          <t>AU2-PF</t>
        </is>
      </c>
      <c r="B424" s="6" t="inlineStr">
        <is>
          <t>INSS contribuinte individual</t>
        </is>
      </c>
      <c r="C424" s="6" t="inlineStr">
        <is>
          <t>20% x mín(R$ 15.000,00; teto R$ 8.475,55)</t>
        </is>
      </c>
      <c r="D424" s="7" t="n">
        <v>1695.11</v>
      </c>
      <c r="E424" s="6" t="inlineStr">
        <is>
          <t>Lei 8.212/1991, art. 21</t>
        </is>
      </c>
    </row>
    <row r="425">
      <c r="A425" s="5" t="inlineStr">
        <is>
          <t>AU2-PF</t>
        </is>
      </c>
      <c r="B425" s="6" t="inlineStr">
        <is>
          <t>Dedução aplicada</t>
        </is>
      </c>
      <c r="C425" s="6" t="inlineStr">
        <is>
          <t>maior entre deduções legais R$ 2.695,11 e desconto simplificado R$ 607,20</t>
        </is>
      </c>
      <c r="D425" s="7" t="n">
        <v>2695.11</v>
      </c>
      <c r="E425" s="6" t="inlineStr">
        <is>
          <t>Lei 9.250/1995, art. 4º; Lei 15.191/2025</t>
        </is>
      </c>
    </row>
    <row r="426">
      <c r="A426" s="5" t="inlineStr">
        <is>
          <t>AU2-PF</t>
        </is>
      </c>
      <c r="B426" s="6" t="inlineStr">
        <is>
          <t>Base de cálculo</t>
        </is>
      </c>
      <c r="C426" s="6" t="inlineStr">
        <is>
          <t>R$ 15.000,00 - R$ 2.695,11</t>
        </is>
      </c>
      <c r="D426" s="7" t="n">
        <v>12304.89</v>
      </c>
      <c r="E426" s="6" t="inlineStr"/>
    </row>
    <row r="427">
      <c r="A427" s="5" t="inlineStr">
        <is>
          <t>AU2-PF</t>
        </is>
      </c>
      <c r="B427" s="6" t="inlineStr">
        <is>
          <t>Imposto pela tabela progressiva</t>
        </is>
      </c>
      <c r="C427" s="6" t="inlineStr">
        <is>
          <t>R$ 12.304,89 x 27,5% - R$ 908,73</t>
        </is>
      </c>
      <c r="D427" s="7" t="n">
        <v>2475.11475</v>
      </c>
      <c r="E427" s="6" t="inlineStr">
        <is>
          <t>Lei 15.191/2025 (tabela) + Lei 15.270/2025 (redução)</t>
        </is>
      </c>
    </row>
    <row r="428">
      <c r="A428" s="5" t="inlineStr">
        <is>
          <t>AU2-PF</t>
        </is>
      </c>
      <c r="B428" s="6" t="inlineStr">
        <is>
          <t>Redução Lei 15.270/2025</t>
        </is>
      </c>
      <c r="C428" s="6" t="inlineStr">
        <is>
          <t>rendimentos acima de R$ 7.350,00: sem redução</t>
        </is>
      </c>
      <c r="D428" s="7" t="n">
        <v>0</v>
      </c>
      <c r="E428" s="6" t="inlineStr">
        <is>
          <t>Lei 15.270/2025</t>
        </is>
      </c>
    </row>
    <row r="429">
      <c r="A429" s="5" t="inlineStr">
        <is>
          <t>AU2-SN</t>
        </is>
      </c>
      <c r="B429" s="6" t="inlineStr">
        <is>
          <t>Fator R (folha 12 meses / RBT12)</t>
        </is>
      </c>
      <c r="C429" s="6" t="inlineStr">
        <is>
          <t>R$ 50.400,12 (salários + pró-labore + FGTS 8%) / R$ 180.000,00 = 28,00% -&gt; Anexo III</t>
        </is>
      </c>
      <c r="D429" s="19" t="n">
        <v>0.2800006666666667</v>
      </c>
      <c r="E429" s="6" t="inlineStr">
        <is>
          <t>LC 123/2006, art. 18, §5º-J, §5º-M e §24</t>
        </is>
      </c>
    </row>
    <row r="430">
      <c r="A430" s="5" t="inlineStr">
        <is>
          <t>AU2-SN</t>
        </is>
      </c>
      <c r="B430" s="6" t="inlineStr">
        <is>
          <t>Alíquota efetiva - Anexo III, 1ª faixa</t>
        </is>
      </c>
      <c r="C430" s="6" t="inlineStr">
        <is>
          <t>(R$ 180.000,00 x 6,00% - R$ 0,00) / R$ 180.000,00 = 6,0000%</t>
        </is>
      </c>
      <c r="D430" s="19" t="n">
        <v>0.06</v>
      </c>
      <c r="E430" s="6" t="inlineStr">
        <is>
          <t>LC 123/2006, art. 18, §1º e §1º-A</t>
        </is>
      </c>
    </row>
    <row r="431">
      <c r="A431" s="5" t="inlineStr">
        <is>
          <t>AU2-SN</t>
        </is>
      </c>
      <c r="B431" s="6" t="inlineStr">
        <is>
          <t>DAS anual</t>
        </is>
      </c>
      <c r="C431" s="6" t="inlineStr">
        <is>
          <t>R$ 180.000,00 x 6,0000%</t>
        </is>
      </c>
      <c r="D431" s="7" t="n">
        <v>10800</v>
      </c>
      <c r="E431" s="6" t="inlineStr">
        <is>
          <t>LC 123/2006, art. 13</t>
        </is>
      </c>
    </row>
    <row r="432">
      <c r="A432" s="5" t="inlineStr">
        <is>
          <t>AU2-SN</t>
        </is>
      </c>
      <c r="B432" s="6" t="inlineStr">
        <is>
          <t>DAS mensal</t>
        </is>
      </c>
      <c r="C432" s="6" t="inlineStr">
        <is>
          <t>R$ 10.800,00 / 12</t>
        </is>
      </c>
      <c r="D432" s="7" t="n">
        <v>900</v>
      </c>
      <c r="E432" s="6" t="inlineStr"/>
    </row>
    <row r="433">
      <c r="A433" s="5" t="inlineStr">
        <is>
          <t>AU2-SN</t>
        </is>
      </c>
      <c r="B433" s="6" t="inlineStr">
        <is>
          <t>INSS do sócio</t>
        </is>
      </c>
      <c r="C433" s="6" t="inlineStr">
        <is>
          <t>R$ 4.200,01 x 11%</t>
        </is>
      </c>
      <c r="D433" s="7" t="n">
        <v>462</v>
      </c>
      <c r="E433" s="6" t="inlineStr">
        <is>
          <t>Lei 8.212/1991, art. 21</t>
        </is>
      </c>
    </row>
    <row r="434">
      <c r="A434" s="5" t="inlineStr">
        <is>
          <t>AU2-LP</t>
        </is>
      </c>
      <c r="B434" s="6" t="inlineStr">
        <is>
          <t>Percentuais de presunção</t>
        </is>
      </c>
      <c r="C434" s="6" t="inlineStr">
        <is>
          <t>Prestação de serviços em geral: IRPJ 32,0%, CSLL 32,0%</t>
        </is>
      </c>
      <c r="D434" s="19" t="n">
        <v>0.32</v>
      </c>
      <c r="E434" s="6" t="inlineStr">
        <is>
          <t>Lei 9.249/1995, art. 15, §1º e art. 20</t>
        </is>
      </c>
    </row>
    <row r="435">
      <c r="A435" s="5" t="inlineStr">
        <is>
          <t>AU2-LP</t>
        </is>
      </c>
      <c r="B435" s="6" t="inlineStr">
        <is>
          <t>1º tri - base presumida IRPJ</t>
        </is>
      </c>
      <c r="C435" s="6" t="inlineStr">
        <is>
          <t>R$ 45.000,00 x 32,0%</t>
        </is>
      </c>
      <c r="D435" s="7" t="n">
        <v>14400</v>
      </c>
      <c r="E435" s="6" t="inlineStr">
        <is>
          <t>Lei 9.249/1995, arts. 15 e 20</t>
        </is>
      </c>
    </row>
    <row r="436">
      <c r="A436" s="5" t="inlineStr">
        <is>
          <t>AU2-LP</t>
        </is>
      </c>
      <c r="B436" s="6" t="inlineStr">
        <is>
          <t>1º tri - IRPJ</t>
        </is>
      </c>
      <c r="C436" s="6" t="inlineStr">
        <is>
          <t>R$ 14.400,00 x 15% + adicional 10% sobre o que exceder R$ 60.000,00</t>
        </is>
      </c>
      <c r="D436" s="7" t="n">
        <v>2160</v>
      </c>
      <c r="E436" s="6" t="inlineStr">
        <is>
          <t>Lei 9.430/1996, arts. 3º e 4º</t>
        </is>
      </c>
    </row>
    <row r="437">
      <c r="A437" s="5" t="inlineStr">
        <is>
          <t>AU2-LP</t>
        </is>
      </c>
      <c r="B437" s="6" t="inlineStr">
        <is>
          <t>1º tri - base presumida CSLL</t>
        </is>
      </c>
      <c r="C437" s="6" t="inlineStr">
        <is>
          <t>R$ 45.000,00 x 32,0%</t>
        </is>
      </c>
      <c r="D437" s="7" t="n">
        <v>14400</v>
      </c>
      <c r="E437" s="6" t="inlineStr">
        <is>
          <t>Lei 9.249/1995, arts. 15 e 20</t>
        </is>
      </c>
    </row>
    <row r="438">
      <c r="A438" s="5" t="inlineStr">
        <is>
          <t>AU2-LP</t>
        </is>
      </c>
      <c r="B438" s="6" t="inlineStr">
        <is>
          <t>1º tri - CSLL</t>
        </is>
      </c>
      <c r="C438" s="6" t="inlineStr">
        <is>
          <t>R$ 14.400,00 x 9%</t>
        </is>
      </c>
      <c r="D438" s="7" t="n">
        <v>1296</v>
      </c>
      <c r="E438" s="6" t="inlineStr">
        <is>
          <t>Lei 7.689/1988, art. 3º</t>
        </is>
      </c>
    </row>
    <row r="439">
      <c r="A439" s="5" t="inlineStr">
        <is>
          <t>AU2-LP</t>
        </is>
      </c>
      <c r="B439" s="6" t="inlineStr">
        <is>
          <t>2º tri - base presumida IRPJ</t>
        </is>
      </c>
      <c r="C439" s="6" t="inlineStr">
        <is>
          <t>R$ 45.000,00 x 32,0%</t>
        </is>
      </c>
      <c r="D439" s="7" t="n">
        <v>14400</v>
      </c>
      <c r="E439" s="6" t="inlineStr">
        <is>
          <t>Lei 9.249/1995, arts. 15 e 20</t>
        </is>
      </c>
    </row>
    <row r="440">
      <c r="A440" s="5" t="inlineStr">
        <is>
          <t>AU2-LP</t>
        </is>
      </c>
      <c r="B440" s="6" t="inlineStr">
        <is>
          <t>2º tri - IRPJ</t>
        </is>
      </c>
      <c r="C440" s="6" t="inlineStr">
        <is>
          <t>R$ 14.400,00 x 15% + adicional 10% sobre o que exceder R$ 60.000,00</t>
        </is>
      </c>
      <c r="D440" s="7" t="n">
        <v>2160</v>
      </c>
      <c r="E440" s="6" t="inlineStr">
        <is>
          <t>Lei 9.430/1996, arts. 3º e 4º</t>
        </is>
      </c>
    </row>
    <row r="441">
      <c r="A441" s="5" t="inlineStr">
        <is>
          <t>AU2-LP</t>
        </is>
      </c>
      <c r="B441" s="6" t="inlineStr">
        <is>
          <t>2º tri - base presumida CSLL</t>
        </is>
      </c>
      <c r="C441" s="6" t="inlineStr">
        <is>
          <t>R$ 45.000,00 x 32,0%</t>
        </is>
      </c>
      <c r="D441" s="7" t="n">
        <v>14400</v>
      </c>
      <c r="E441" s="6" t="inlineStr">
        <is>
          <t>Lei 9.249/1995, arts. 15 e 20</t>
        </is>
      </c>
    </row>
    <row r="442">
      <c r="A442" s="5" t="inlineStr">
        <is>
          <t>AU2-LP</t>
        </is>
      </c>
      <c r="B442" s="6" t="inlineStr">
        <is>
          <t>2º tri - CSLL</t>
        </is>
      </c>
      <c r="C442" s="6" t="inlineStr">
        <is>
          <t>R$ 14.400,00 x 9%</t>
        </is>
      </c>
      <c r="D442" s="7" t="n">
        <v>1296</v>
      </c>
      <c r="E442" s="6" t="inlineStr">
        <is>
          <t>Lei 7.689/1988, art. 3º</t>
        </is>
      </c>
    </row>
    <row r="443">
      <c r="A443" s="5" t="inlineStr">
        <is>
          <t>AU2-LP</t>
        </is>
      </c>
      <c r="B443" s="6" t="inlineStr">
        <is>
          <t>3º tri - base presumida IRPJ</t>
        </is>
      </c>
      <c r="C443" s="6" t="inlineStr">
        <is>
          <t>R$ 45.000,00 x 32,0%</t>
        </is>
      </c>
      <c r="D443" s="7" t="n">
        <v>14400</v>
      </c>
      <c r="E443" s="6" t="inlineStr">
        <is>
          <t>Lei 9.249/1995, arts. 15 e 20</t>
        </is>
      </c>
    </row>
    <row r="444">
      <c r="A444" s="5" t="inlineStr">
        <is>
          <t>AU2-LP</t>
        </is>
      </c>
      <c r="B444" s="6" t="inlineStr">
        <is>
          <t>3º tri - IRPJ</t>
        </is>
      </c>
      <c r="C444" s="6" t="inlineStr">
        <is>
          <t>R$ 14.400,00 x 15% + adicional 10% sobre o que exceder R$ 60.000,00</t>
        </is>
      </c>
      <c r="D444" s="7" t="n">
        <v>2160</v>
      </c>
      <c r="E444" s="6" t="inlineStr">
        <is>
          <t>Lei 9.430/1996, arts. 3º e 4º</t>
        </is>
      </c>
    </row>
    <row r="445">
      <c r="A445" s="5" t="inlineStr">
        <is>
          <t>AU2-LP</t>
        </is>
      </c>
      <c r="B445" s="6" t="inlineStr">
        <is>
          <t>3º tri - base presumida CSLL</t>
        </is>
      </c>
      <c r="C445" s="6" t="inlineStr">
        <is>
          <t>R$ 45.000,00 x 32,0%</t>
        </is>
      </c>
      <c r="D445" s="7" t="n">
        <v>14400</v>
      </c>
      <c r="E445" s="6" t="inlineStr">
        <is>
          <t>Lei 9.249/1995, arts. 15 e 20</t>
        </is>
      </c>
    </row>
    <row r="446">
      <c r="A446" s="5" t="inlineStr">
        <is>
          <t>AU2-LP</t>
        </is>
      </c>
      <c r="B446" s="6" t="inlineStr">
        <is>
          <t>3º tri - CSLL</t>
        </is>
      </c>
      <c r="C446" s="6" t="inlineStr">
        <is>
          <t>R$ 14.400,00 x 9%</t>
        </is>
      </c>
      <c r="D446" s="7" t="n">
        <v>1296</v>
      </c>
      <c r="E446" s="6" t="inlineStr">
        <is>
          <t>Lei 7.689/1988, art. 3º</t>
        </is>
      </c>
    </row>
    <row r="447">
      <c r="A447" s="5" t="inlineStr">
        <is>
          <t>AU2-LP</t>
        </is>
      </c>
      <c r="B447" s="6" t="inlineStr">
        <is>
          <t>4º tri - base presumida IRPJ</t>
        </is>
      </c>
      <c r="C447" s="6" t="inlineStr">
        <is>
          <t>R$ 45.000,00 x 32,0%</t>
        </is>
      </c>
      <c r="D447" s="7" t="n">
        <v>14400</v>
      </c>
      <c r="E447" s="6" t="inlineStr">
        <is>
          <t>Lei 9.249/1995, arts. 15 e 20</t>
        </is>
      </c>
    </row>
    <row r="448">
      <c r="A448" s="5" t="inlineStr">
        <is>
          <t>AU2-LP</t>
        </is>
      </c>
      <c r="B448" s="6" t="inlineStr">
        <is>
          <t>4º tri - IRPJ</t>
        </is>
      </c>
      <c r="C448" s="6" t="inlineStr">
        <is>
          <t>R$ 14.400,00 x 15% + adicional 10% sobre o que exceder R$ 60.000,00</t>
        </is>
      </c>
      <c r="D448" s="7" t="n">
        <v>2160</v>
      </c>
      <c r="E448" s="6" t="inlineStr">
        <is>
          <t>Lei 9.430/1996, arts. 3º e 4º</t>
        </is>
      </c>
    </row>
    <row r="449">
      <c r="A449" s="5" t="inlineStr">
        <is>
          <t>AU2-LP</t>
        </is>
      </c>
      <c r="B449" s="6" t="inlineStr">
        <is>
          <t>4º tri - base presumida CSLL</t>
        </is>
      </c>
      <c r="C449" s="6" t="inlineStr">
        <is>
          <t>R$ 45.000,00 x 32,0%</t>
        </is>
      </c>
      <c r="D449" s="7" t="n">
        <v>14400</v>
      </c>
      <c r="E449" s="6" t="inlineStr">
        <is>
          <t>Lei 9.249/1995, arts. 15 e 20</t>
        </is>
      </c>
    </row>
    <row r="450">
      <c r="A450" s="5" t="inlineStr">
        <is>
          <t>AU2-LP</t>
        </is>
      </c>
      <c r="B450" s="6" t="inlineStr">
        <is>
          <t>4º tri - CSLL</t>
        </is>
      </c>
      <c r="C450" s="6" t="inlineStr">
        <is>
          <t>R$ 14.400,00 x 9%</t>
        </is>
      </c>
      <c r="D450" s="7" t="n">
        <v>1296</v>
      </c>
      <c r="E450" s="6" t="inlineStr">
        <is>
          <t>Lei 7.689/1988, art. 3º</t>
        </is>
      </c>
    </row>
    <row r="451">
      <c r="A451" s="5" t="inlineStr">
        <is>
          <t>AU2-LP</t>
        </is>
      </c>
      <c r="B451" s="6" t="inlineStr">
        <is>
          <t>PIS cumulativo</t>
        </is>
      </c>
      <c r="C451" s="6" t="inlineStr">
        <is>
          <t>R$ 180.000,00 x 0,65%</t>
        </is>
      </c>
      <c r="D451" s="7" t="n">
        <v>1170</v>
      </c>
      <c r="E451" s="6" t="inlineStr">
        <is>
          <t>Lei 9.715/1998</t>
        </is>
      </c>
    </row>
    <row r="452">
      <c r="A452" s="5" t="inlineStr">
        <is>
          <t>AU2-LP</t>
        </is>
      </c>
      <c r="B452" s="6" t="inlineStr">
        <is>
          <t>Cofins cumulativa</t>
        </is>
      </c>
      <c r="C452" s="6" t="inlineStr">
        <is>
          <t>R$ 180.000,00 x 3,00%</t>
        </is>
      </c>
      <c r="D452" s="7" t="n">
        <v>5400</v>
      </c>
      <c r="E452" s="6" t="inlineStr">
        <is>
          <t>Lei 9.718/1998</t>
        </is>
      </c>
    </row>
    <row r="453">
      <c r="A453" s="5" t="inlineStr">
        <is>
          <t>AU2-LP</t>
        </is>
      </c>
      <c r="B453" s="6" t="inlineStr">
        <is>
          <t>ISS</t>
        </is>
      </c>
      <c r="C453" s="6" t="inlineStr">
        <is>
          <t>R$ 180.000,00 x 5,00%</t>
        </is>
      </c>
      <c r="D453" s="7" t="n">
        <v>9000</v>
      </c>
      <c r="E453" s="6" t="inlineStr">
        <is>
          <t>LC 116/2003 e lei municipal</t>
        </is>
      </c>
    </row>
    <row r="454">
      <c r="A454" s="5" t="inlineStr">
        <is>
          <t>AU2-LP</t>
        </is>
      </c>
      <c r="B454" s="6" t="inlineStr">
        <is>
          <t>INSS patronal sobre a folha CLT</t>
        </is>
      </c>
      <c r="C454" s="6" t="inlineStr">
        <is>
          <t>R$ 0,00 x (20,00% CPP + 2,00% RAT + 5,80% terceiros)</t>
        </is>
      </c>
      <c r="D454" s="7" t="n">
        <v>0</v>
      </c>
      <c r="E454" s="6" t="inlineStr">
        <is>
          <t>Lei 8.212/1991, art. 22, I e II</t>
        </is>
      </c>
    </row>
    <row r="455">
      <c r="A455" s="5" t="inlineStr">
        <is>
          <t>AU2-LP</t>
        </is>
      </c>
      <c r="B455" s="6" t="inlineStr">
        <is>
          <t>INSS patronal sobre o pró-labore</t>
        </is>
      </c>
      <c r="C455" s="6" t="inlineStr">
        <is>
          <t>R$ 19.452,00 x 20,00%</t>
        </is>
      </c>
      <c r="D455" s="7" t="n">
        <v>3890.4</v>
      </c>
      <c r="E455" s="6" t="inlineStr">
        <is>
          <t>Lei 8.212/1991, art. 22, III</t>
        </is>
      </c>
    </row>
    <row r="456">
      <c r="A456" s="5" t="inlineStr">
        <is>
          <t>AU2-LP</t>
        </is>
      </c>
      <c r="B456" s="6" t="inlineStr">
        <is>
          <t>IRPJ mensal</t>
        </is>
      </c>
      <c r="C456" s="6" t="inlineStr">
        <is>
          <t>R$ 8.640,00 / 12</t>
        </is>
      </c>
      <c r="D456" s="7" t="n">
        <v>720</v>
      </c>
      <c r="E456" s="6" t="inlineStr"/>
    </row>
    <row r="457">
      <c r="A457" s="5" t="inlineStr">
        <is>
          <t>AU2-LP</t>
        </is>
      </c>
      <c r="B457" s="6" t="inlineStr">
        <is>
          <t>CSLL mensal</t>
        </is>
      </c>
      <c r="C457" s="6" t="inlineStr">
        <is>
          <t>R$ 5.184,00 / 12</t>
        </is>
      </c>
      <c r="D457" s="7" t="n">
        <v>432</v>
      </c>
      <c r="E457" s="6" t="inlineStr"/>
    </row>
    <row r="458">
      <c r="A458" s="5" t="inlineStr">
        <is>
          <t>AU2-LP</t>
        </is>
      </c>
      <c r="B458" s="6" t="inlineStr">
        <is>
          <t>PIS mensal</t>
        </is>
      </c>
      <c r="C458" s="6" t="inlineStr">
        <is>
          <t>R$ 1.170,00 / 12</t>
        </is>
      </c>
      <c r="D458" s="7" t="n">
        <v>97.5</v>
      </c>
      <c r="E458" s="6" t="inlineStr"/>
    </row>
    <row r="459">
      <c r="A459" s="5" t="inlineStr">
        <is>
          <t>AU2-LP</t>
        </is>
      </c>
      <c r="B459" s="6" t="inlineStr">
        <is>
          <t>Cofins mensal</t>
        </is>
      </c>
      <c r="C459" s="6" t="inlineStr">
        <is>
          <t>R$ 5.400,00 / 12</t>
        </is>
      </c>
      <c r="D459" s="7" t="n">
        <v>450</v>
      </c>
      <c r="E459" s="6" t="inlineStr"/>
    </row>
    <row r="460">
      <c r="A460" s="5" t="inlineStr">
        <is>
          <t>AU2-LP</t>
        </is>
      </c>
      <c r="B460" s="6" t="inlineStr">
        <is>
          <t>ISS mensal</t>
        </is>
      </c>
      <c r="C460" s="6" t="inlineStr">
        <is>
          <t>R$ 9.000,00 / 12</t>
        </is>
      </c>
      <c r="D460" s="7" t="n">
        <v>750</v>
      </c>
      <c r="E460" s="6" t="inlineStr"/>
    </row>
    <row r="461">
      <c r="A461" s="5" t="inlineStr">
        <is>
          <t>AU2-LP</t>
        </is>
      </c>
      <c r="B461" s="6" t="inlineStr">
        <is>
          <t>INSS patronal mensal</t>
        </is>
      </c>
      <c r="C461" s="6" t="inlineStr">
        <is>
          <t>R$ 3.890,40 / 12</t>
        </is>
      </c>
      <c r="D461" s="7" t="n">
        <v>324.2</v>
      </c>
      <c r="E461" s="6" t="inlineStr"/>
    </row>
    <row r="462">
      <c r="A462" s="5" t="inlineStr">
        <is>
          <t>AU2-LP</t>
        </is>
      </c>
      <c r="B462" s="6" t="inlineStr">
        <is>
          <t>INSS do sócio</t>
        </is>
      </c>
      <c r="C462" s="6" t="inlineStr">
        <is>
          <t>R$ 1.621,00 x 11%</t>
        </is>
      </c>
      <c r="D462" s="7" t="n">
        <v>178.31</v>
      </c>
      <c r="E462" s="6" t="inlineStr">
        <is>
          <t>Lei 8.212/1991, art. 21</t>
        </is>
      </c>
    </row>
    <row r="463">
      <c r="A463" s="5" t="inlineStr">
        <is>
          <t>AU3-PF</t>
        </is>
      </c>
      <c r="B463" s="6" t="inlineStr">
        <is>
          <t>INSS contribuinte individual</t>
        </is>
      </c>
      <c r="C463" s="6" t="inlineStr">
        <is>
          <t>20% x mín(R$ 40.000,00; teto R$ 8.475,55)</t>
        </is>
      </c>
      <c r="D463" s="7" t="n">
        <v>1695.11</v>
      </c>
      <c r="E463" s="6" t="inlineStr">
        <is>
          <t>Lei 8.212/1991, art. 21</t>
        </is>
      </c>
    </row>
    <row r="464">
      <c r="A464" s="5" t="inlineStr">
        <is>
          <t>AU3-PF</t>
        </is>
      </c>
      <c r="B464" s="6" t="inlineStr">
        <is>
          <t>Dedução aplicada</t>
        </is>
      </c>
      <c r="C464" s="6" t="inlineStr">
        <is>
          <t>maior entre deduções legais R$ 1.884,70 e desconto simplificado R$ 607,20</t>
        </is>
      </c>
      <c r="D464" s="7" t="n">
        <v>1884.7</v>
      </c>
      <c r="E464" s="6" t="inlineStr">
        <is>
          <t>Lei 9.250/1995, art. 4º; Lei 15.191/2025</t>
        </is>
      </c>
    </row>
    <row r="465">
      <c r="A465" s="5" t="inlineStr">
        <is>
          <t>AU3-PF</t>
        </is>
      </c>
      <c r="B465" s="6" t="inlineStr">
        <is>
          <t>Base de cálculo</t>
        </is>
      </c>
      <c r="C465" s="6" t="inlineStr">
        <is>
          <t>R$ 40.000,00 - R$ 1.884,70</t>
        </is>
      </c>
      <c r="D465" s="7" t="n">
        <v>38115.3</v>
      </c>
      <c r="E465" s="6" t="inlineStr"/>
    </row>
    <row r="466">
      <c r="A466" s="5" t="inlineStr">
        <is>
          <t>AU3-PF</t>
        </is>
      </c>
      <c r="B466" s="6" t="inlineStr">
        <is>
          <t>Imposto pela tabela progressiva</t>
        </is>
      </c>
      <c r="C466" s="6" t="inlineStr">
        <is>
          <t>R$ 38.115,30 x 27,5% - R$ 908,73</t>
        </is>
      </c>
      <c r="D466" s="7" t="n">
        <v>9572.977500000001</v>
      </c>
      <c r="E466" s="6" t="inlineStr">
        <is>
          <t>Lei 15.191/2025 (tabela) + Lei 15.270/2025 (redução)</t>
        </is>
      </c>
    </row>
    <row r="467">
      <c r="A467" s="5" t="inlineStr">
        <is>
          <t>AU3-PF</t>
        </is>
      </c>
      <c r="B467" s="6" t="inlineStr">
        <is>
          <t>Redução Lei 15.270/2025</t>
        </is>
      </c>
      <c r="C467" s="6" t="inlineStr">
        <is>
          <t>rendimentos acima de R$ 7.350,00: sem redução</t>
        </is>
      </c>
      <c r="D467" s="7" t="n">
        <v>0</v>
      </c>
      <c r="E467" s="6" t="inlineStr">
        <is>
          <t>Lei 15.270/2025</t>
        </is>
      </c>
    </row>
    <row r="468">
      <c r="A468" s="5" t="inlineStr">
        <is>
          <t>AU3-SN</t>
        </is>
      </c>
      <c r="B468" s="6" t="inlineStr">
        <is>
          <t>Fator R (folha 12 meses / RBT12)</t>
        </is>
      </c>
      <c r="C468" s="6" t="inlineStr">
        <is>
          <t>R$ 134.400,12 (salários + pró-labore + FGTS 8%) / R$ 480.000,00 = 28,00% -&gt; Anexo III</t>
        </is>
      </c>
      <c r="D468" s="19" t="n">
        <v>0.28000025</v>
      </c>
      <c r="E468" s="6" t="inlineStr">
        <is>
          <t>LC 123/2006, art. 18, §5º-J, §5º-M e §24</t>
        </is>
      </c>
    </row>
    <row r="469">
      <c r="A469" s="5" t="inlineStr">
        <is>
          <t>AU3-SN</t>
        </is>
      </c>
      <c r="B469" s="6" t="inlineStr">
        <is>
          <t>Alíquota efetiva - Anexo III, 3ª faixa</t>
        </is>
      </c>
      <c r="C469" s="6" t="inlineStr">
        <is>
          <t>(R$ 480.000,00 x 13,50% - R$ 17.640,00) / R$ 480.000,00 = 9,8250%</t>
        </is>
      </c>
      <c r="D469" s="19" t="n">
        <v>0.09825</v>
      </c>
      <c r="E469" s="6" t="inlineStr">
        <is>
          <t>LC 123/2006, art. 18, §1º e §1º-A</t>
        </is>
      </c>
    </row>
    <row r="470">
      <c r="A470" s="5" t="inlineStr">
        <is>
          <t>AU3-SN</t>
        </is>
      </c>
      <c r="B470" s="6" t="inlineStr">
        <is>
          <t>DAS anual</t>
        </is>
      </c>
      <c r="C470" s="6" t="inlineStr">
        <is>
          <t>R$ 480.000,00 x 9,8250%</t>
        </is>
      </c>
      <c r="D470" s="7" t="n">
        <v>47160</v>
      </c>
      <c r="E470" s="6" t="inlineStr">
        <is>
          <t>LC 123/2006, art. 13</t>
        </is>
      </c>
    </row>
    <row r="471">
      <c r="A471" s="5" t="inlineStr">
        <is>
          <t>AU3-SN</t>
        </is>
      </c>
      <c r="B471" s="6" t="inlineStr">
        <is>
          <t>DAS mensal</t>
        </is>
      </c>
      <c r="C471" s="6" t="inlineStr">
        <is>
          <t>R$ 47.160,00 / 12</t>
        </is>
      </c>
      <c r="D471" s="7" t="n">
        <v>3930</v>
      </c>
      <c r="E471" s="6" t="inlineStr"/>
    </row>
    <row r="472">
      <c r="A472" s="5" t="inlineStr">
        <is>
          <t>AU3-SN</t>
        </is>
      </c>
      <c r="B472" s="6" t="inlineStr">
        <is>
          <t>INSS do sócio</t>
        </is>
      </c>
      <c r="C472" s="6" t="inlineStr">
        <is>
          <t>R$ 11.200,01 x 11%</t>
        </is>
      </c>
      <c r="D472" s="7" t="n">
        <v>932.3099999999999</v>
      </c>
      <c r="E472" s="6" t="inlineStr">
        <is>
          <t>Lei 8.212/1991, art. 21</t>
        </is>
      </c>
    </row>
    <row r="473">
      <c r="A473" s="5" t="inlineStr">
        <is>
          <t>AU3-LP</t>
        </is>
      </c>
      <c r="B473" s="6" t="inlineStr">
        <is>
          <t>Percentuais de presunção</t>
        </is>
      </c>
      <c r="C473" s="6" t="inlineStr">
        <is>
          <t>Prestação de serviços em geral: IRPJ 32,0%, CSLL 32,0%</t>
        </is>
      </c>
      <c r="D473" s="19" t="n">
        <v>0.32</v>
      </c>
      <c r="E473" s="6" t="inlineStr">
        <is>
          <t>Lei 9.249/1995, art. 15, §1º e art. 20</t>
        </is>
      </c>
    </row>
    <row r="474">
      <c r="A474" s="5" t="inlineStr">
        <is>
          <t>AU3-LP</t>
        </is>
      </c>
      <c r="B474" s="6" t="inlineStr">
        <is>
          <t>1º tri - base presumida IRPJ</t>
        </is>
      </c>
      <c r="C474" s="6" t="inlineStr">
        <is>
          <t>R$ 120.000,00 x 32,0%</t>
        </is>
      </c>
      <c r="D474" s="7" t="n">
        <v>38400</v>
      </c>
      <c r="E474" s="6" t="inlineStr">
        <is>
          <t>Lei 9.249/1995, arts. 15 e 20</t>
        </is>
      </c>
    </row>
    <row r="475">
      <c r="A475" s="5" t="inlineStr">
        <is>
          <t>AU3-LP</t>
        </is>
      </c>
      <c r="B475" s="6" t="inlineStr">
        <is>
          <t>1º tri - IRPJ</t>
        </is>
      </c>
      <c r="C475" s="6" t="inlineStr">
        <is>
          <t>R$ 38.400,00 x 15% + adicional 10% sobre o que exceder R$ 60.000,00</t>
        </is>
      </c>
      <c r="D475" s="7" t="n">
        <v>5760</v>
      </c>
      <c r="E475" s="6" t="inlineStr">
        <is>
          <t>Lei 9.430/1996, arts. 3º e 4º</t>
        </is>
      </c>
    </row>
    <row r="476">
      <c r="A476" s="5" t="inlineStr">
        <is>
          <t>AU3-LP</t>
        </is>
      </c>
      <c r="B476" s="6" t="inlineStr">
        <is>
          <t>1º tri - base presumida CSLL</t>
        </is>
      </c>
      <c r="C476" s="6" t="inlineStr">
        <is>
          <t>R$ 120.000,00 x 32,0%</t>
        </is>
      </c>
      <c r="D476" s="7" t="n">
        <v>38400</v>
      </c>
      <c r="E476" s="6" t="inlineStr">
        <is>
          <t>Lei 9.249/1995, arts. 15 e 20</t>
        </is>
      </c>
    </row>
    <row r="477">
      <c r="A477" s="5" t="inlineStr">
        <is>
          <t>AU3-LP</t>
        </is>
      </c>
      <c r="B477" s="6" t="inlineStr">
        <is>
          <t>1º tri - CSLL</t>
        </is>
      </c>
      <c r="C477" s="6" t="inlineStr">
        <is>
          <t>R$ 38.400,00 x 9%</t>
        </is>
      </c>
      <c r="D477" s="7" t="n">
        <v>3456</v>
      </c>
      <c r="E477" s="6" t="inlineStr">
        <is>
          <t>Lei 7.689/1988, art. 3º</t>
        </is>
      </c>
    </row>
    <row r="478">
      <c r="A478" s="5" t="inlineStr">
        <is>
          <t>AU3-LP</t>
        </is>
      </c>
      <c r="B478" s="6" t="inlineStr">
        <is>
          <t>2º tri - base presumida IRPJ</t>
        </is>
      </c>
      <c r="C478" s="6" t="inlineStr">
        <is>
          <t>R$ 120.000,00 x 32,0%</t>
        </is>
      </c>
      <c r="D478" s="7" t="n">
        <v>38400</v>
      </c>
      <c r="E478" s="6" t="inlineStr">
        <is>
          <t>Lei 9.249/1995, arts. 15 e 20</t>
        </is>
      </c>
    </row>
    <row r="479">
      <c r="A479" s="5" t="inlineStr">
        <is>
          <t>AU3-LP</t>
        </is>
      </c>
      <c r="B479" s="6" t="inlineStr">
        <is>
          <t>2º tri - IRPJ</t>
        </is>
      </c>
      <c r="C479" s="6" t="inlineStr">
        <is>
          <t>R$ 38.400,00 x 15% + adicional 10% sobre o que exceder R$ 60.000,00</t>
        </is>
      </c>
      <c r="D479" s="7" t="n">
        <v>5760</v>
      </c>
      <c r="E479" s="6" t="inlineStr">
        <is>
          <t>Lei 9.430/1996, arts. 3º e 4º</t>
        </is>
      </c>
    </row>
    <row r="480">
      <c r="A480" s="5" t="inlineStr">
        <is>
          <t>AU3-LP</t>
        </is>
      </c>
      <c r="B480" s="6" t="inlineStr">
        <is>
          <t>2º tri - base presumida CSLL</t>
        </is>
      </c>
      <c r="C480" s="6" t="inlineStr">
        <is>
          <t>R$ 120.000,00 x 32,0%</t>
        </is>
      </c>
      <c r="D480" s="7" t="n">
        <v>38400</v>
      </c>
      <c r="E480" s="6" t="inlineStr">
        <is>
          <t>Lei 9.249/1995, arts. 15 e 20</t>
        </is>
      </c>
    </row>
    <row r="481">
      <c r="A481" s="5" t="inlineStr">
        <is>
          <t>AU3-LP</t>
        </is>
      </c>
      <c r="B481" s="6" t="inlineStr">
        <is>
          <t>2º tri - CSLL</t>
        </is>
      </c>
      <c r="C481" s="6" t="inlineStr">
        <is>
          <t>R$ 38.400,00 x 9%</t>
        </is>
      </c>
      <c r="D481" s="7" t="n">
        <v>3456</v>
      </c>
      <c r="E481" s="6" t="inlineStr">
        <is>
          <t>Lei 7.689/1988, art. 3º</t>
        </is>
      </c>
    </row>
    <row r="482">
      <c r="A482" s="5" t="inlineStr">
        <is>
          <t>AU3-LP</t>
        </is>
      </c>
      <c r="B482" s="6" t="inlineStr">
        <is>
          <t>3º tri - base presumida IRPJ</t>
        </is>
      </c>
      <c r="C482" s="6" t="inlineStr">
        <is>
          <t>R$ 120.000,00 x 32,0%</t>
        </is>
      </c>
      <c r="D482" s="7" t="n">
        <v>38400</v>
      </c>
      <c r="E482" s="6" t="inlineStr">
        <is>
          <t>Lei 9.249/1995, arts. 15 e 20</t>
        </is>
      </c>
    </row>
    <row r="483">
      <c r="A483" s="5" t="inlineStr">
        <is>
          <t>AU3-LP</t>
        </is>
      </c>
      <c r="B483" s="6" t="inlineStr">
        <is>
          <t>3º tri - IRPJ</t>
        </is>
      </c>
      <c r="C483" s="6" t="inlineStr">
        <is>
          <t>R$ 38.400,00 x 15% + adicional 10% sobre o que exceder R$ 60.000,00</t>
        </is>
      </c>
      <c r="D483" s="7" t="n">
        <v>5760</v>
      </c>
      <c r="E483" s="6" t="inlineStr">
        <is>
          <t>Lei 9.430/1996, arts. 3º e 4º</t>
        </is>
      </c>
    </row>
    <row r="484">
      <c r="A484" s="5" t="inlineStr">
        <is>
          <t>AU3-LP</t>
        </is>
      </c>
      <c r="B484" s="6" t="inlineStr">
        <is>
          <t>3º tri - base presumida CSLL</t>
        </is>
      </c>
      <c r="C484" s="6" t="inlineStr">
        <is>
          <t>R$ 120.000,00 x 32,0%</t>
        </is>
      </c>
      <c r="D484" s="7" t="n">
        <v>38400</v>
      </c>
      <c r="E484" s="6" t="inlineStr">
        <is>
          <t>Lei 9.249/1995, arts. 15 e 20</t>
        </is>
      </c>
    </row>
    <row r="485">
      <c r="A485" s="5" t="inlineStr">
        <is>
          <t>AU3-LP</t>
        </is>
      </c>
      <c r="B485" s="6" t="inlineStr">
        <is>
          <t>3º tri - CSLL</t>
        </is>
      </c>
      <c r="C485" s="6" t="inlineStr">
        <is>
          <t>R$ 38.400,00 x 9%</t>
        </is>
      </c>
      <c r="D485" s="7" t="n">
        <v>3456</v>
      </c>
      <c r="E485" s="6" t="inlineStr">
        <is>
          <t>Lei 7.689/1988, art. 3º</t>
        </is>
      </c>
    </row>
    <row r="486">
      <c r="A486" s="5" t="inlineStr">
        <is>
          <t>AU3-LP</t>
        </is>
      </c>
      <c r="B486" s="6" t="inlineStr">
        <is>
          <t>4º tri - base presumida IRPJ</t>
        </is>
      </c>
      <c r="C486" s="6" t="inlineStr">
        <is>
          <t>R$ 120.000,00 x 32,0%</t>
        </is>
      </c>
      <c r="D486" s="7" t="n">
        <v>38400</v>
      </c>
      <c r="E486" s="6" t="inlineStr">
        <is>
          <t>Lei 9.249/1995, arts. 15 e 20</t>
        </is>
      </c>
    </row>
    <row r="487">
      <c r="A487" s="5" t="inlineStr">
        <is>
          <t>AU3-LP</t>
        </is>
      </c>
      <c r="B487" s="6" t="inlineStr">
        <is>
          <t>4º tri - IRPJ</t>
        </is>
      </c>
      <c r="C487" s="6" t="inlineStr">
        <is>
          <t>R$ 38.400,00 x 15% + adicional 10% sobre o que exceder R$ 60.000,00</t>
        </is>
      </c>
      <c r="D487" s="7" t="n">
        <v>5760</v>
      </c>
      <c r="E487" s="6" t="inlineStr">
        <is>
          <t>Lei 9.430/1996, arts. 3º e 4º</t>
        </is>
      </c>
    </row>
    <row r="488">
      <c r="A488" s="5" t="inlineStr">
        <is>
          <t>AU3-LP</t>
        </is>
      </c>
      <c r="B488" s="6" t="inlineStr">
        <is>
          <t>4º tri - base presumida CSLL</t>
        </is>
      </c>
      <c r="C488" s="6" t="inlineStr">
        <is>
          <t>R$ 120.000,00 x 32,0%</t>
        </is>
      </c>
      <c r="D488" s="7" t="n">
        <v>38400</v>
      </c>
      <c r="E488" s="6" t="inlineStr">
        <is>
          <t>Lei 9.249/1995, arts. 15 e 20</t>
        </is>
      </c>
    </row>
    <row r="489">
      <c r="A489" s="5" t="inlineStr">
        <is>
          <t>AU3-LP</t>
        </is>
      </c>
      <c r="B489" s="6" t="inlineStr">
        <is>
          <t>4º tri - CSLL</t>
        </is>
      </c>
      <c r="C489" s="6" t="inlineStr">
        <is>
          <t>R$ 38.400,00 x 9%</t>
        </is>
      </c>
      <c r="D489" s="7" t="n">
        <v>3456</v>
      </c>
      <c r="E489" s="6" t="inlineStr">
        <is>
          <t>Lei 7.689/1988, art. 3º</t>
        </is>
      </c>
    </row>
    <row r="490">
      <c r="A490" s="5" t="inlineStr">
        <is>
          <t>AU3-LP</t>
        </is>
      </c>
      <c r="B490" s="6" t="inlineStr">
        <is>
          <t>PIS cumulativo</t>
        </is>
      </c>
      <c r="C490" s="6" t="inlineStr">
        <is>
          <t>R$ 480.000,00 x 0,65%</t>
        </is>
      </c>
      <c r="D490" s="7" t="n">
        <v>3120</v>
      </c>
      <c r="E490" s="6" t="inlineStr">
        <is>
          <t>Lei 9.715/1998</t>
        </is>
      </c>
    </row>
    <row r="491">
      <c r="A491" s="5" t="inlineStr">
        <is>
          <t>AU3-LP</t>
        </is>
      </c>
      <c r="B491" s="6" t="inlineStr">
        <is>
          <t>Cofins cumulativa</t>
        </is>
      </c>
      <c r="C491" s="6" t="inlineStr">
        <is>
          <t>R$ 480.000,00 x 3,00%</t>
        </is>
      </c>
      <c r="D491" s="7" t="n">
        <v>14400</v>
      </c>
      <c r="E491" s="6" t="inlineStr">
        <is>
          <t>Lei 9.718/1998</t>
        </is>
      </c>
    </row>
    <row r="492">
      <c r="A492" s="5" t="inlineStr">
        <is>
          <t>AU3-LP</t>
        </is>
      </c>
      <c r="B492" s="6" t="inlineStr">
        <is>
          <t>ISS</t>
        </is>
      </c>
      <c r="C492" s="6" t="inlineStr">
        <is>
          <t>R$ 480.000,00 x 5,00%</t>
        </is>
      </c>
      <c r="D492" s="7" t="n">
        <v>24000</v>
      </c>
      <c r="E492" s="6" t="inlineStr">
        <is>
          <t>LC 116/2003 e lei municipal</t>
        </is>
      </c>
    </row>
    <row r="493">
      <c r="A493" s="5" t="inlineStr">
        <is>
          <t>AU3-LP</t>
        </is>
      </c>
      <c r="B493" s="6" t="inlineStr">
        <is>
          <t>INSS patronal sobre a folha CLT</t>
        </is>
      </c>
      <c r="C493" s="6" t="inlineStr">
        <is>
          <t>R$ 0,00 x (20,00% CPP + 2,00% RAT + 5,80% terceiros)</t>
        </is>
      </c>
      <c r="D493" s="7" t="n">
        <v>0</v>
      </c>
      <c r="E493" s="6" t="inlineStr">
        <is>
          <t>Lei 8.212/1991, art. 22, I e II</t>
        </is>
      </c>
    </row>
    <row r="494">
      <c r="A494" s="5" t="inlineStr">
        <is>
          <t>AU3-LP</t>
        </is>
      </c>
      <c r="B494" s="6" t="inlineStr">
        <is>
          <t>INSS patronal sobre o pró-labore</t>
        </is>
      </c>
      <c r="C494" s="6" t="inlineStr">
        <is>
          <t>R$ 19.452,00 x 20,00%</t>
        </is>
      </c>
      <c r="D494" s="7" t="n">
        <v>3890.4</v>
      </c>
      <c r="E494" s="6" t="inlineStr">
        <is>
          <t>Lei 8.212/1991, art. 22, III</t>
        </is>
      </c>
    </row>
    <row r="495">
      <c r="A495" s="5" t="inlineStr">
        <is>
          <t>AU3-LP</t>
        </is>
      </c>
      <c r="B495" s="6" t="inlineStr">
        <is>
          <t>IRPJ mensal</t>
        </is>
      </c>
      <c r="C495" s="6" t="inlineStr">
        <is>
          <t>R$ 23.040,00 / 12</t>
        </is>
      </c>
      <c r="D495" s="7" t="n">
        <v>1920</v>
      </c>
      <c r="E495" s="6" t="inlineStr"/>
    </row>
    <row r="496">
      <c r="A496" s="5" t="inlineStr">
        <is>
          <t>AU3-LP</t>
        </is>
      </c>
      <c r="B496" s="6" t="inlineStr">
        <is>
          <t>CSLL mensal</t>
        </is>
      </c>
      <c r="C496" s="6" t="inlineStr">
        <is>
          <t>R$ 13.824,00 / 12</t>
        </is>
      </c>
      <c r="D496" s="7" t="n">
        <v>1152</v>
      </c>
      <c r="E496" s="6" t="inlineStr"/>
    </row>
    <row r="497">
      <c r="A497" s="5" t="inlineStr">
        <is>
          <t>AU3-LP</t>
        </is>
      </c>
      <c r="B497" s="6" t="inlineStr">
        <is>
          <t>PIS mensal</t>
        </is>
      </c>
      <c r="C497" s="6" t="inlineStr">
        <is>
          <t>R$ 3.120,00 / 12</t>
        </is>
      </c>
      <c r="D497" s="7" t="n">
        <v>260</v>
      </c>
      <c r="E497" s="6" t="inlineStr"/>
    </row>
    <row r="498">
      <c r="A498" s="5" t="inlineStr">
        <is>
          <t>AU3-LP</t>
        </is>
      </c>
      <c r="B498" s="6" t="inlineStr">
        <is>
          <t>Cofins mensal</t>
        </is>
      </c>
      <c r="C498" s="6" t="inlineStr">
        <is>
          <t>R$ 14.400,00 / 12</t>
        </is>
      </c>
      <c r="D498" s="7" t="n">
        <v>1200</v>
      </c>
      <c r="E498" s="6" t="inlineStr"/>
    </row>
    <row r="499">
      <c r="A499" s="5" t="inlineStr">
        <is>
          <t>AU3-LP</t>
        </is>
      </c>
      <c r="B499" s="6" t="inlineStr">
        <is>
          <t>ISS mensal</t>
        </is>
      </c>
      <c r="C499" s="6" t="inlineStr">
        <is>
          <t>R$ 24.000,00 / 12</t>
        </is>
      </c>
      <c r="D499" s="7" t="n">
        <v>2000</v>
      </c>
      <c r="E499" s="6" t="inlineStr"/>
    </row>
    <row r="500">
      <c r="A500" s="5" t="inlineStr">
        <is>
          <t>AU3-LP</t>
        </is>
      </c>
      <c r="B500" s="6" t="inlineStr">
        <is>
          <t>INSS patronal mensal</t>
        </is>
      </c>
      <c r="C500" s="6" t="inlineStr">
        <is>
          <t>R$ 3.890,40 / 12</t>
        </is>
      </c>
      <c r="D500" s="7" t="n">
        <v>324.2</v>
      </c>
      <c r="E500" s="6" t="inlineStr"/>
    </row>
    <row r="501">
      <c r="A501" s="5" t="inlineStr">
        <is>
          <t>AU3-LP</t>
        </is>
      </c>
      <c r="B501" s="6" t="inlineStr">
        <is>
          <t>INSS do sócio</t>
        </is>
      </c>
      <c r="C501" s="6" t="inlineStr">
        <is>
          <t>R$ 1.621,00 x 11%</t>
        </is>
      </c>
      <c r="D501" s="7" t="n">
        <v>178.31</v>
      </c>
      <c r="E501" s="6" t="inlineStr">
        <is>
          <t>Lei 8.212/1991, art. 21</t>
        </is>
      </c>
    </row>
    <row r="502">
      <c r="A502" s="5" t="inlineStr">
        <is>
          <t>REC1</t>
        </is>
      </c>
      <c r="B502" s="6" t="inlineStr">
        <is>
          <t>Venda de itens monofásicos (provável)</t>
        </is>
      </c>
      <c r="C502" s="6" t="inlineStr">
        <is>
          <t>soma dos itens com CST PIS 04 ou NCM da lista</t>
        </is>
      </c>
      <c r="D502" s="7" t="n">
        <v>10000</v>
      </c>
      <c r="E502" s="6" t="inlineStr">
        <is>
          <t>LC 123/2006, art. 18, §4º-A, I; Res. CGSN 140/2018, art. 25</t>
        </is>
      </c>
    </row>
    <row r="503">
      <c r="A503" s="5" t="inlineStr">
        <is>
          <t>REC1</t>
        </is>
      </c>
      <c r="B503" s="6" t="inlineStr">
        <is>
          <t>Venda de itens com ICMS-ST (provável)</t>
        </is>
      </c>
      <c r="C503" s="6" t="inlineStr">
        <is>
          <t>soma dos itens com CSOSN 500/201/202/203, CST 10/30/60/70 ou CFOP de ST</t>
        </is>
      </c>
      <c r="D503" s="7" t="n">
        <v>20000</v>
      </c>
      <c r="E503" s="6" t="inlineStr">
        <is>
          <t>LC 123/2006, art. 13, §1º, XIII, a, e art. 18, §4º-A, I; Res. CGSN 140/2018, art. 25</t>
        </is>
      </c>
    </row>
    <row r="504">
      <c r="A504" s="5" t="inlineStr">
        <is>
          <t>REC1</t>
        </is>
      </c>
      <c r="B504" s="6" t="inlineStr">
        <is>
          <t>Exemplo: 01/2026 - RBT12</t>
        </is>
      </c>
      <c r="C504" s="6" t="inlineStr">
        <is>
          <t>soma da receita dos 12 meses anteriores</t>
        </is>
      </c>
      <c r="D504" s="7" t="n">
        <v>1200000</v>
      </c>
      <c r="E504" s="6" t="inlineStr">
        <is>
          <t>LC 123/2006, art. 3º, §§ 1º e 2º, e art. 18, §1º</t>
        </is>
      </c>
    </row>
    <row r="505">
      <c r="A505" s="5" t="inlineStr">
        <is>
          <t>REC1</t>
        </is>
      </c>
      <c r="B505" s="6" t="inlineStr">
        <is>
          <t>Exemplo: 01/2026 - alíquota efetiva (faixa 4)</t>
        </is>
      </c>
      <c r="C505" s="6" t="inlineStr">
        <is>
          <t>(RBT12 x alíquota nominal - parcela a deduzir) / RBT12</t>
        </is>
      </c>
      <c r="D505" s="7" t="n">
        <v>0.08825</v>
      </c>
      <c r="E505" s="6" t="inlineStr">
        <is>
          <t>LC 123/2006, art. 18, §1º</t>
        </is>
      </c>
    </row>
    <row r="506">
      <c r="A506" s="5" t="inlineStr">
        <is>
          <t>REC1</t>
        </is>
      </c>
      <c r="B506" s="6" t="inlineStr">
        <is>
          <t>Exemplo: 01/2026 - percentual de PIS+Cofins na repartição da faixa</t>
        </is>
      </c>
      <c r="C506" s="6" t="inlineStr">
        <is>
          <t>% de PIS + % de Cofins da faixa</t>
        </is>
      </c>
      <c r="D506" s="7" t="n">
        <v>0.155</v>
      </c>
      <c r="E506" s="6" t="inlineStr">
        <is>
          <t>LC 123/2006, Anexos I e II (repartição)</t>
        </is>
      </c>
    </row>
    <row r="507">
      <c r="A507" s="5" t="inlineStr">
        <is>
          <t>REC1</t>
        </is>
      </c>
      <c r="B507" s="6" t="inlineStr">
        <is>
          <t>Exemplo: 01/2026 - percentual de ICMS na repartição da faixa</t>
        </is>
      </c>
      <c r="C507" s="6" t="inlineStr">
        <is>
          <t>% de ICMS da faixa</t>
        </is>
      </c>
      <c r="D507" s="7" t="n">
        <v>0.335</v>
      </c>
      <c r="E507" s="6" t="inlineStr">
        <is>
          <t>LC 123/2006, Anexos I e II (repartição)</t>
        </is>
      </c>
    </row>
    <row r="508">
      <c r="A508" s="5" t="inlineStr">
        <is>
          <t>REC1</t>
        </is>
      </c>
      <c r="B508" s="6" t="inlineStr">
        <is>
          <t>Exemplo: 01/2026 - PIS/Cofins pagos a mais</t>
        </is>
      </c>
      <c r="C508" s="6" t="inlineStr">
        <is>
          <t>R$ 10.000,00 x 8,8250% x 15,50%</t>
        </is>
      </c>
      <c r="D508" s="7" t="n">
        <v>136.79</v>
      </c>
      <c r="E508" s="6" t="inlineStr">
        <is>
          <t>LC 123/2006, art. 18, §4º-A, I; Res. CGSN 140/2018, art. 25</t>
        </is>
      </c>
    </row>
    <row r="509">
      <c r="A509" s="5" t="inlineStr">
        <is>
          <t>REC1</t>
        </is>
      </c>
      <c r="B509" s="6" t="inlineStr">
        <is>
          <t>Exemplo: 01/2026 - ICMS pago a mais</t>
        </is>
      </c>
      <c r="C509" s="6" t="inlineStr">
        <is>
          <t>R$ 20.000,00 x 8,8250% x 33,50%</t>
        </is>
      </c>
      <c r="D509" s="7" t="n">
        <v>591.28</v>
      </c>
      <c r="E509" s="6" t="inlineStr">
        <is>
          <t>LC 123/2006, art. 13, §1º, XIII, a, e art. 18, §4º-A, I; Res. CGSN 140/2018, art. 25</t>
        </is>
      </c>
    </row>
    <row r="510">
      <c r="A510" s="5" t="inlineStr">
        <is>
          <t>REC1</t>
        </is>
      </c>
      <c r="B510" s="6" t="inlineStr">
        <is>
          <t>PIS/Cofins pagos a mais no período</t>
        </is>
      </c>
      <c r="C510" s="6" t="inlineStr">
        <is>
          <t>soma dos meses</t>
        </is>
      </c>
      <c r="D510" s="7" t="n">
        <v>136.79</v>
      </c>
      <c r="E510" s="6" t="inlineStr">
        <is>
          <t>LC 123/2006, art. 18, §4º-A, I; Res. CGSN 140/2018, art. 25</t>
        </is>
      </c>
    </row>
    <row r="511">
      <c r="A511" s="5" t="inlineStr">
        <is>
          <t>REC1</t>
        </is>
      </c>
      <c r="B511" s="6" t="inlineStr">
        <is>
          <t>ICMS pago a mais no período</t>
        </is>
      </c>
      <c r="C511" s="6" t="inlineStr">
        <is>
          <t>soma dos meses</t>
        </is>
      </c>
      <c r="D511" s="7" t="n">
        <v>591.28</v>
      </c>
      <c r="E511" s="6" t="inlineStr">
        <is>
          <t>LC 123/2006, art. 13, §1º, XIII, a, e art. 18, §4º-A, I; Res. CGSN 140/2018, art. 25</t>
        </is>
      </c>
    </row>
    <row r="512">
      <c r="A512" s="5" t="inlineStr">
        <is>
          <t>REC1</t>
        </is>
      </c>
      <c r="B512" s="6" t="inlineStr">
        <is>
          <t>Economia por ano daqui para frente</t>
        </is>
      </c>
      <c r="C512" s="6" t="inlineStr">
        <is>
          <t>média mensal dos últimos 12 meses x 12</t>
        </is>
      </c>
      <c r="D512" s="7" t="n">
        <v>728.0700000000001</v>
      </c>
      <c r="E512" s="6" t="inlineStr">
        <is>
          <t>LC 123/2006, art. 18, §4º-A, I; Res. CGSN 140/2018, art. 25</t>
        </is>
      </c>
    </row>
    <row r="513">
      <c r="A513" s="5" t="inlineStr">
        <is>
          <t>REC2</t>
        </is>
      </c>
      <c r="B513" s="6" t="inlineStr">
        <is>
          <t>Venda de itens monofásicos (provável)</t>
        </is>
      </c>
      <c r="C513" s="6" t="inlineStr">
        <is>
          <t>soma dos itens com CST PIS 04 ou NCM da lista</t>
        </is>
      </c>
      <c r="D513" s="7" t="n">
        <v>10000</v>
      </c>
      <c r="E513" s="6" t="inlineStr">
        <is>
          <t>LC 123/2006, art. 18, §4º-A, I; Res. CGSN 140/2018, art. 25</t>
        </is>
      </c>
    </row>
    <row r="514">
      <c r="A514" s="5" t="inlineStr">
        <is>
          <t>REC2</t>
        </is>
      </c>
      <c r="B514" s="6" t="inlineStr">
        <is>
          <t>Venda de itens com ICMS-ST (provável)</t>
        </is>
      </c>
      <c r="C514" s="6" t="inlineStr">
        <is>
          <t>soma dos itens com CSOSN 500/201/202/203, CST 10/30/60/70 ou CFOP de ST</t>
        </is>
      </c>
      <c r="D514" s="7" t="n">
        <v>10000</v>
      </c>
      <c r="E514" s="6" t="inlineStr">
        <is>
          <t>LC 123/2006, art. 13, §1º, XIII, a, e art. 18, §4º-A, I; Res. CGSN 140/2018, art. 25</t>
        </is>
      </c>
    </row>
    <row r="515">
      <c r="A515" s="5" t="inlineStr">
        <is>
          <t>REC2</t>
        </is>
      </c>
      <c r="B515" s="6" t="inlineStr">
        <is>
          <t>Exemplo: 01/2026 - RBT12</t>
        </is>
      </c>
      <c r="C515" s="6" t="inlineStr">
        <is>
          <t>soma da receita dos 12 meses anteriores</t>
        </is>
      </c>
      <c r="D515" s="7" t="n">
        <v>4800000</v>
      </c>
      <c r="E515" s="6" t="inlineStr">
        <is>
          <t>LC 123/2006, art. 3º, §§ 1º e 2º, e art. 18, §1º</t>
        </is>
      </c>
    </row>
    <row r="516">
      <c r="A516" s="5" t="inlineStr">
        <is>
          <t>REC2</t>
        </is>
      </c>
      <c r="B516" s="6" t="inlineStr">
        <is>
          <t>Exemplo: 01/2026 - alíquota efetiva (faixa 6)</t>
        </is>
      </c>
      <c r="C516" s="6" t="inlineStr">
        <is>
          <t>(RBT12 x alíquota nominal - parcela a deduzir) / RBT12</t>
        </is>
      </c>
      <c r="D516" s="7" t="n">
        <v>0.11125</v>
      </c>
      <c r="E516" s="6" t="inlineStr">
        <is>
          <t>LC 123/2006, art. 18, §1º</t>
        </is>
      </c>
    </row>
    <row r="517">
      <c r="A517" s="5" t="inlineStr">
        <is>
          <t>REC2</t>
        </is>
      </c>
      <c r="B517" s="6" t="inlineStr">
        <is>
          <t>Exemplo: 01/2026 - percentual de PIS+Cofins na repartição da faixa</t>
        </is>
      </c>
      <c r="C517" s="6" t="inlineStr">
        <is>
          <t>% de PIS + % de Cofins da faixa</t>
        </is>
      </c>
      <c r="D517" s="7" t="n">
        <v>0.344</v>
      </c>
      <c r="E517" s="6" t="inlineStr">
        <is>
          <t>LC 123/2006, Anexos I e II (repartição)</t>
        </is>
      </c>
    </row>
    <row r="518">
      <c r="A518" s="5" t="inlineStr">
        <is>
          <t>REC2</t>
        </is>
      </c>
      <c r="B518" s="6" t="inlineStr">
        <is>
          <t>Exemplo: 01/2026 - percentual de ICMS na repartição da faixa</t>
        </is>
      </c>
      <c r="C518" s="6" t="inlineStr">
        <is>
          <t>% de ICMS da faixa</t>
        </is>
      </c>
      <c r="D518" s="7" t="n">
        <v>0</v>
      </c>
      <c r="E518" s="6" t="inlineStr">
        <is>
          <t>LC 123/2006, Anexos I e II (repartição)</t>
        </is>
      </c>
    </row>
    <row r="519">
      <c r="A519" s="5" t="inlineStr">
        <is>
          <t>REC2</t>
        </is>
      </c>
      <c r="B519" s="6" t="inlineStr">
        <is>
          <t>Exemplo: 01/2026 - PIS/Cofins pagos a mais</t>
        </is>
      </c>
      <c r="C519" s="6" t="inlineStr">
        <is>
          <t>R$ 10.000,00 x 11,1250% x 34,40%</t>
        </is>
      </c>
      <c r="D519" s="7" t="n">
        <v>382.7</v>
      </c>
      <c r="E519" s="6" t="inlineStr">
        <is>
          <t>LC 123/2006, art. 18, §4º-A, I; Res. CGSN 140/2018, art. 25</t>
        </is>
      </c>
    </row>
    <row r="520">
      <c r="A520" s="5" t="inlineStr">
        <is>
          <t>REC2</t>
        </is>
      </c>
      <c r="B520" s="6" t="inlineStr">
        <is>
          <t>Exemplo: 01/2026 - ICMS pago a mais</t>
        </is>
      </c>
      <c r="C520" s="6" t="inlineStr">
        <is>
          <t>R$ 10.000,00 x 11,1250% x 0,00%</t>
        </is>
      </c>
      <c r="D520" s="7" t="n">
        <v>0</v>
      </c>
      <c r="E520" s="6" t="inlineStr">
        <is>
          <t>LC 123/2006, art. 13, §1º, XIII, a, e art. 18, §4º-A, I; Res. CGSN 140/2018, art. 25</t>
        </is>
      </c>
    </row>
    <row r="521">
      <c r="A521" s="5" t="inlineStr">
        <is>
          <t>REC2</t>
        </is>
      </c>
      <c r="B521" s="6" t="inlineStr">
        <is>
          <t>PIS/Cofins pagos a mais no período</t>
        </is>
      </c>
      <c r="C521" s="6" t="inlineStr">
        <is>
          <t>soma dos meses</t>
        </is>
      </c>
      <c r="D521" s="7" t="n">
        <v>382.7</v>
      </c>
      <c r="E521" s="6" t="inlineStr">
        <is>
          <t>LC 123/2006, art. 18, §4º-A, I; Res. CGSN 140/2018, art. 25</t>
        </is>
      </c>
    </row>
    <row r="522">
      <c r="A522" s="5" t="inlineStr">
        <is>
          <t>REC2</t>
        </is>
      </c>
      <c r="B522" s="6" t="inlineStr">
        <is>
          <t>ICMS pago a mais no período</t>
        </is>
      </c>
      <c r="C522" s="6" t="inlineStr">
        <is>
          <t>soma dos meses</t>
        </is>
      </c>
      <c r="D522" s="7" t="n">
        <v>0</v>
      </c>
      <c r="E522" s="6" t="inlineStr">
        <is>
          <t>LC 123/2006, art. 13, §1º, XIII, a, e art. 18, §4º-A, I; Res. CGSN 140/2018, art. 25</t>
        </is>
      </c>
    </row>
    <row r="523">
      <c r="A523" s="5" t="inlineStr">
        <is>
          <t>REC2</t>
        </is>
      </c>
      <c r="B523" s="6" t="inlineStr">
        <is>
          <t>Economia por ano daqui para frente</t>
        </is>
      </c>
      <c r="C523" s="6" t="inlineStr">
        <is>
          <t>média mensal dos últimos 12 meses x 12</t>
        </is>
      </c>
      <c r="D523" s="7" t="n">
        <v>382.7</v>
      </c>
      <c r="E523" s="6" t="inlineStr">
        <is>
          <t>LC 123/2006, art. 18, §4º-A, I; Res. CGSN 140/2018, art. 25</t>
        </is>
      </c>
    </row>
    <row r="524">
      <c r="A524" s="5" t="inlineStr">
        <is>
          <t>REC3</t>
        </is>
      </c>
      <c r="B524" s="6" t="inlineStr">
        <is>
          <t>Venda de itens monofásicos (provável)</t>
        </is>
      </c>
      <c r="C524" s="6" t="inlineStr">
        <is>
          <t>soma dos itens com CST PIS 04 ou NCM da lista</t>
        </is>
      </c>
      <c r="D524" s="7" t="n">
        <v>8000</v>
      </c>
      <c r="E524" s="6" t="inlineStr">
        <is>
          <t>LC 123/2006, art. 18, §4º-A, I; Res. CGSN 140/2018, art. 25</t>
        </is>
      </c>
    </row>
    <row r="525">
      <c r="A525" s="5" t="inlineStr">
        <is>
          <t>REC3</t>
        </is>
      </c>
      <c r="B525" s="6" t="inlineStr">
        <is>
          <t>Venda de itens com ICMS-ST (provável)</t>
        </is>
      </c>
      <c r="C525" s="6" t="inlineStr">
        <is>
          <t>soma dos itens com CSOSN 500/201/202/203, CST 10/30/60/70 ou CFOP de ST</t>
        </is>
      </c>
      <c r="D525" s="7" t="n">
        <v>12000</v>
      </c>
      <c r="E525" s="6" t="inlineStr">
        <is>
          <t>LC 123/2006, art. 13, §1º, XIII, a, e art. 18, §4º-A, I; Res. CGSN 140/2018, art. 25</t>
        </is>
      </c>
    </row>
    <row r="526">
      <c r="A526" s="5" t="inlineStr">
        <is>
          <t>REC3</t>
        </is>
      </c>
      <c r="B526" s="6" t="inlineStr">
        <is>
          <t>Exemplo: 01/2026 - RBT12</t>
        </is>
      </c>
      <c r="C526" s="6" t="inlineStr">
        <is>
          <t>soma da receita dos 12 meses anteriores</t>
        </is>
      </c>
      <c r="D526" s="7" t="n">
        <v>600000</v>
      </c>
      <c r="E526" s="6" t="inlineStr">
        <is>
          <t>LC 123/2006, art. 3º, §§ 1º e 2º, e art. 18, §1º</t>
        </is>
      </c>
    </row>
    <row r="527">
      <c r="A527" s="5" t="inlineStr">
        <is>
          <t>REC3</t>
        </is>
      </c>
      <c r="B527" s="6" t="inlineStr">
        <is>
          <t>Exemplo: 01/2026 - alíquota efetiva (faixa 3)</t>
        </is>
      </c>
      <c r="C527" s="6" t="inlineStr">
        <is>
          <t>(RBT12 x alíquota nominal - parcela a deduzir) / RBT12</t>
        </is>
      </c>
      <c r="D527" s="7" t="n">
        <v>0.0769</v>
      </c>
      <c r="E527" s="6" t="inlineStr">
        <is>
          <t>LC 123/2006, art. 18, §1º</t>
        </is>
      </c>
    </row>
    <row r="528">
      <c r="A528" s="5" t="inlineStr">
        <is>
          <t>REC3</t>
        </is>
      </c>
      <c r="B528" s="6" t="inlineStr">
        <is>
          <t>Exemplo: 01/2026 - percentual de PIS+Cofins na repartição da faixa</t>
        </is>
      </c>
      <c r="C528" s="6" t="inlineStr">
        <is>
          <t>% de PIS + % de Cofins da faixa</t>
        </is>
      </c>
      <c r="D528" s="7" t="n">
        <v>0.14</v>
      </c>
      <c r="E528" s="6" t="inlineStr">
        <is>
          <t>LC 123/2006, Anexos I e II (repartição)</t>
        </is>
      </c>
    </row>
    <row r="529">
      <c r="A529" s="5" t="inlineStr">
        <is>
          <t>REC3</t>
        </is>
      </c>
      <c r="B529" s="6" t="inlineStr">
        <is>
          <t>Exemplo: 01/2026 - percentual de ICMS na repartição da faixa</t>
        </is>
      </c>
      <c r="C529" s="6" t="inlineStr">
        <is>
          <t>% de ICMS da faixa</t>
        </is>
      </c>
      <c r="D529" s="7" t="n">
        <v>0.32</v>
      </c>
      <c r="E529" s="6" t="inlineStr">
        <is>
          <t>LC 123/2006, Anexos I e II (repartição)</t>
        </is>
      </c>
    </row>
    <row r="530">
      <c r="A530" s="5" t="inlineStr">
        <is>
          <t>REC3</t>
        </is>
      </c>
      <c r="B530" s="6" t="inlineStr">
        <is>
          <t>Exemplo: 01/2026 - PIS/Cofins pagos a mais</t>
        </is>
      </c>
      <c r="C530" s="6" t="inlineStr">
        <is>
          <t>R$ 8.000,00 x 7,6900% x 14,00%</t>
        </is>
      </c>
      <c r="D530" s="7" t="n">
        <v>86.13</v>
      </c>
      <c r="E530" s="6" t="inlineStr">
        <is>
          <t>LC 123/2006, art. 18, §4º-A, I; Res. CGSN 140/2018, art. 25</t>
        </is>
      </c>
    </row>
    <row r="531">
      <c r="A531" s="5" t="inlineStr">
        <is>
          <t>REC3</t>
        </is>
      </c>
      <c r="B531" s="6" t="inlineStr">
        <is>
          <t>Exemplo: 01/2026 - ICMS pago a mais</t>
        </is>
      </c>
      <c r="C531" s="6" t="inlineStr">
        <is>
          <t>R$ 12.000,00 x 7,6900% x 32,00%</t>
        </is>
      </c>
      <c r="D531" s="7" t="n">
        <v>295.3</v>
      </c>
      <c r="E531" s="6" t="inlineStr">
        <is>
          <t>LC 123/2006, art. 13, §1º, XIII, a, e art. 18, §4º-A, I; Res. CGSN 140/2018, art. 25</t>
        </is>
      </c>
    </row>
    <row r="532">
      <c r="A532" s="5" t="inlineStr">
        <is>
          <t>REC3</t>
        </is>
      </c>
      <c r="B532" s="6" t="inlineStr">
        <is>
          <t>PIS/Cofins pagos a mais no período</t>
        </is>
      </c>
      <c r="C532" s="6" t="inlineStr">
        <is>
          <t>soma dos meses</t>
        </is>
      </c>
      <c r="D532" s="7" t="n">
        <v>86.13</v>
      </c>
      <c r="E532" s="6" t="inlineStr">
        <is>
          <t>LC 123/2006, art. 18, §4º-A, I; Res. CGSN 140/2018, art. 25</t>
        </is>
      </c>
    </row>
    <row r="533">
      <c r="A533" s="5" t="inlineStr">
        <is>
          <t>REC3</t>
        </is>
      </c>
      <c r="B533" s="6" t="inlineStr">
        <is>
          <t>ICMS pago a mais no período</t>
        </is>
      </c>
      <c r="C533" s="6" t="inlineStr">
        <is>
          <t>soma dos meses</t>
        </is>
      </c>
      <c r="D533" s="7" t="n">
        <v>295.3</v>
      </c>
      <c r="E533" s="6" t="inlineStr">
        <is>
          <t>LC 123/2006, art. 13, §1º, XIII, a, e art. 18, §4º-A, I; Res. CGSN 140/2018, art. 25</t>
        </is>
      </c>
    </row>
    <row r="534">
      <c r="A534" s="5" t="inlineStr">
        <is>
          <t>REC3</t>
        </is>
      </c>
      <c r="B534" s="6" t="inlineStr">
        <is>
          <t>Economia por ano daqui para frente</t>
        </is>
      </c>
      <c r="C534" s="6" t="inlineStr">
        <is>
          <t>média mensal dos últimos 12 meses x 12</t>
        </is>
      </c>
      <c r="D534" s="7" t="n">
        <v>381.43</v>
      </c>
      <c r="E534" s="6" t="inlineStr">
        <is>
          <t>LC 123/2006, art. 18, §4º-A, I; Res. CGSN 140/2018, art. 25</t>
        </is>
      </c>
    </row>
  </sheetData>
  <autoFilter ref="A1:E5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Fator R abaixo de 28%: acrescentar cerca de R$ 360,00/mês de pró-labore levaria ao Anexo III. Compare o custo do INSS sobre esse pró-labore.</t>
        </is>
      </c>
    </row>
    <row r="3">
      <c r="A3" s="6" t="inlineStr">
        <is>
          <t>E1-SN</t>
        </is>
      </c>
      <c r="B3" s="6" t="inlineStr">
        <is>
          <t>Estimativa com faturamento mensal constante; o DAS real varia mês a mês com o RBT12.</t>
        </is>
      </c>
    </row>
    <row r="4">
      <c r="A4" s="6" t="inlineStr">
        <is>
          <t>E1-LR</t>
        </is>
      </c>
      <c r="B4" s="6" t="inlineStr">
        <is>
          <t>Estimativa gerencial: considera todo o estoque comprado como vendido no ano e não detalha adições/exclusões do LALUR além das informadas.</t>
        </is>
      </c>
    </row>
    <row r="5">
      <c r="A5" s="6" t="inlineStr">
        <is>
          <t>E2-SN</t>
        </is>
      </c>
      <c r="B5" s="6" t="inlineStr">
        <is>
          <t>Estimativa com faturamento mensal constante; o DAS real varia mês a mês com o RBT12.</t>
        </is>
      </c>
    </row>
    <row r="6">
      <c r="A6" s="6" t="inlineStr">
        <is>
          <t>E2-LR</t>
        </is>
      </c>
      <c r="B6" s="6" t="inlineStr">
        <is>
          <t>Estimativa gerencial: considera todo o estoque comprado como vendido no ano e não detalha adições/exclusões do LALUR além das informadas.</t>
        </is>
      </c>
    </row>
    <row r="7">
      <c r="A7" s="6" t="inlineStr">
        <is>
          <t>E3-SN</t>
        </is>
      </c>
      <c r="B7" s="6" t="inlineStr">
        <is>
          <t>Estimativa com faturamento mensal constante; o DAS real varia mês a mês com o RBT12.</t>
        </is>
      </c>
    </row>
    <row r="8">
      <c r="A8" s="6" t="inlineStr">
        <is>
          <t>E3-LR</t>
        </is>
      </c>
      <c r="B8" s="6" t="inlineStr">
        <is>
          <t>Prejuízo fiscal: IRPJ/CSLL zerados; o prejuízo compensa até 30% de lucros futuros.</t>
        </is>
      </c>
    </row>
    <row r="9">
      <c r="A9" s="6" t="inlineStr">
        <is>
          <t>E3-LR</t>
        </is>
      </c>
      <c r="B9" s="6" t="inlineStr">
        <is>
          <t>Estimativa gerencial: considera todo o estoque comprado como vendido no ano e não detalha adições/exclusões do LALUR além das informadas.</t>
        </is>
      </c>
    </row>
    <row r="10">
      <c r="A10" s="6" t="inlineStr">
        <is>
          <t>E4-SN</t>
        </is>
      </c>
      <c r="B10" s="6" t="inlineStr">
        <is>
          <t>Estimativa com faturamento mensal constante; o DAS real varia mês a mês com o RBT12.</t>
        </is>
      </c>
    </row>
    <row r="11">
      <c r="A11" s="6" t="inlineStr">
        <is>
          <t>E4-LR</t>
        </is>
      </c>
      <c r="B11" s="6" t="inlineStr">
        <is>
          <t>Prejuízo fiscal: IRPJ/CSLL zerados; o prejuízo compensa até 30% de lucros futuros.</t>
        </is>
      </c>
    </row>
    <row r="12">
      <c r="A12" s="6" t="inlineStr">
        <is>
          <t>E4-LR</t>
        </is>
      </c>
      <c r="B12" s="6" t="inlineStr">
        <is>
          <t>Estimativa gerencial: considera todo o estoque comprado como vendido no ano e não detalha adições/exclusões do LALUR além das informadas.</t>
        </is>
      </c>
    </row>
    <row r="13">
      <c r="A13" s="6" t="inlineStr">
        <is>
          <t>E5-SN</t>
        </is>
      </c>
      <c r="B13" s="6" t="inlineStr">
        <is>
          <t>Estimativa com faturamento mensal constante; o DAS real varia mês a mês com o RBT12.</t>
        </is>
      </c>
    </row>
    <row r="14">
      <c r="A14" s="6" t="inlineStr">
        <is>
          <t>E5-LR</t>
        </is>
      </c>
      <c r="B14" s="6" t="inlineStr">
        <is>
          <t>Estimativa gerencial: considera todo o estoque comprado como vendido no ano e não detalha adições/exclusões do LALUR além das informadas.</t>
        </is>
      </c>
    </row>
    <row r="15">
      <c r="A15" s="6" t="inlineStr">
        <is>
          <t>E6-SN</t>
        </is>
      </c>
      <c r="B15" s="6" t="inlineStr">
        <is>
          <t>Receita acima de R$ 4.800.000,00: empresa não pode optar pelo Simples.</t>
        </is>
      </c>
    </row>
    <row r="16">
      <c r="A16" s="6" t="inlineStr">
        <is>
          <t>E6-LP</t>
        </is>
      </c>
      <c r="B16" s="6" t="inlineStr">
        <is>
          <t>Aplicado o acréscimo de 10% na presunção (LC 224/2025) sobre a receita acima de R$ 5 mi/ano. A regra é questionada no STF (ADIs 7920 e 7936) e há liminares afastando-a; confirme a situação do cliente.</t>
        </is>
      </c>
    </row>
    <row r="17">
      <c r="A17" s="6" t="inlineStr">
        <is>
          <t>E6-LR</t>
        </is>
      </c>
      <c r="B17" s="6" t="inlineStr">
        <is>
          <t>Estimativa gerencial: considera todo o estoque comprado como vendido no ano e não detalha adições/exclusões do LALUR além das informadas.</t>
        </is>
      </c>
    </row>
    <row r="18">
      <c r="A18" s="6" t="inlineStr">
        <is>
          <t>E7-SN</t>
        </is>
      </c>
      <c r="B18" s="6" t="inlineStr">
        <is>
          <t>Fator R abaixo de 28%: acrescentar cerca de R$ 10.500,00/mês de pró-labore levaria ao Anexo III. Compare o custo do INSS sobre esse pró-labore.</t>
        </is>
      </c>
    </row>
    <row r="19">
      <c r="A19" s="6" t="inlineStr">
        <is>
          <t>E7-SN</t>
        </is>
      </c>
      <c r="B19" s="6" t="inlineStr">
        <is>
          <t>Estimativa com faturamento mensal constante; o DAS real varia mês a mês com o RBT12.</t>
        </is>
      </c>
    </row>
    <row r="20">
      <c r="A20" s="6" t="inlineStr">
        <is>
          <t>E7-LR</t>
        </is>
      </c>
      <c r="B20" s="6" t="inlineStr">
        <is>
          <t>Estimativa gerencial: considera todo o estoque comprado como vendido no ano e não detalha adições/exclusões do LALUR além das informadas.</t>
        </is>
      </c>
    </row>
    <row r="21">
      <c r="A21" s="6" t="inlineStr">
        <is>
          <t>SOC1-B</t>
        </is>
      </c>
      <c r="B21" s="6" t="inlineStr">
        <is>
          <t>Dividendos pressupõem lucro contábil apurado (ou presumido menos tributos, sem escrituração) e distribuição aprovada.</t>
        </is>
      </c>
    </row>
    <row r="22">
      <c r="A22" s="6" t="inlineStr">
        <is>
          <t>SOC2-B</t>
        </is>
      </c>
      <c r="B22" s="6" t="inlineStr">
        <is>
          <t>Dividendos pressupõem lucro contábil apurado (ou presumido menos tributos, sem escrituração) e distribuição aprovada.</t>
        </is>
      </c>
    </row>
    <row r="23">
      <c r="A23" s="6" t="inlineStr">
        <is>
          <t>SOC3-B</t>
        </is>
      </c>
      <c r="B23" s="6" t="inlineStr">
        <is>
          <t>Dividendos pressupõem lucro contábil apurado (ou presumido menos tributos, sem escrituração) e distribuição aprovada.</t>
        </is>
      </c>
    </row>
    <row r="24">
      <c r="A24" s="6" t="inlineStr">
        <is>
          <t>SOC3-B</t>
        </is>
      </c>
      <c r="B24" s="6" t="inlineStr">
        <is>
          <t>Renda anual acima de R$ 600 mil: sujeito ao IRPFM (alíquota mínima estimada de 6,00% sobre a renda total, abatido o IR já pago e o redutor de carga da PJ). Não incluído no custo mensal.</t>
        </is>
      </c>
    </row>
    <row r="25">
      <c r="A25" s="6" t="inlineStr">
        <is>
          <t>RT1-2025</t>
        </is>
      </c>
      <c r="B25" s="6" t="inlineStr">
        <is>
          <t>Premissas: vendas sem tributos mantidas em R$ 1.567.000,00/ano e aquisições com crédito em R$ 873.000,00/ano; alíquotas de referência CBS 8,8% e IBS 17,7% (estimativas — a de 2027 depende de TCU/Senado); Imposto Seletivo não incluído.</t>
        </is>
      </c>
    </row>
    <row r="26">
      <c r="A26" s="6" t="inlineStr">
        <is>
          <t>RT2-2025</t>
        </is>
      </c>
      <c r="B26" s="6" t="inlineStr">
        <is>
          <t>Premissas: vendas sem tributos mantidas em R$ 1.096.200,00/ano e aquisições com crédito em R$ 108.900,00/ano; alíquotas de referência CBS 8,8% e IBS 17,7% (estimativas — a de 2027 depende de TCU/Senado); Imposto Seletivo não incluído.</t>
        </is>
      </c>
    </row>
    <row r="27">
      <c r="A27" s="6" t="inlineStr">
        <is>
          <t>RT3-2025</t>
        </is>
      </c>
      <c r="B27" s="6" t="inlineStr">
        <is>
          <t>Premissas: vendas sem tributos mantidas em R$ 548.100,00/ano e aquisições com crédito em R$ 54.450,00/ano; alíquotas de referência CBS 8,8% e IBS 17,7% (estimativas — a de 2027 depende de TCU/Senado); Imposto Seletivo não incluído.</t>
        </is>
      </c>
    </row>
    <row r="28">
      <c r="A28" s="6" t="inlineStr">
        <is>
          <t>RT4-2025</t>
        </is>
      </c>
      <c r="B28" s="6" t="inlineStr">
        <is>
          <t>Premissas: vendas sem tributos mantidas em R$ 2.182.500,00/ano e aquisições com crédito em R$ 1.236.750,00/ano; alíquotas de referência CBS 8,8% e IBS 17,7% (estimativas — a de 2027 depende de TCU/Senado); Imposto Seletivo não incluído.</t>
        </is>
      </c>
    </row>
    <row r="29">
      <c r="A29" s="6" t="inlineStr">
        <is>
          <t>SR1-2027</t>
        </is>
      </c>
      <c r="B29" s="6" t="inlineStr">
        <is>
          <t>A partilha do DAS a partir de 2027 será redefinida (LC 214/2025); o cálculo usa a partilha atual como aproximação da fatia de IBS/CBS.</t>
        </is>
      </c>
    </row>
    <row r="30">
      <c r="A30" s="6" t="inlineStr">
        <is>
          <t>SR1-2033</t>
        </is>
      </c>
      <c r="B30" s="6" t="inlineStr">
        <is>
          <t>2033: recolher por fora compensa mesmo sem vendas a empresas (créditos nas compras altos).</t>
        </is>
      </c>
    </row>
    <row r="31">
      <c r="A31" s="6" t="inlineStr">
        <is>
          <t>SR1-2033</t>
        </is>
      </c>
      <c r="B31" s="6" t="inlineStr">
        <is>
          <t>A partilha do DAS a partir de 2027 será redefinida (LC 214/2025); o cálculo usa a partilha atual como aproximação da fatia de IBS/CBS.</t>
        </is>
      </c>
    </row>
    <row r="32">
      <c r="A32" s="6" t="inlineStr">
        <is>
          <t>SR2-2027</t>
        </is>
      </c>
      <c r="B32" s="6" t="inlineStr">
        <is>
          <t>A partilha do DAS a partir de 2027 será redefinida (LC 214/2025); o cálculo usa a partilha atual como aproximação da fatia de IBS/CBS.</t>
        </is>
      </c>
    </row>
    <row r="33">
      <c r="A33" s="6" t="inlineStr">
        <is>
          <t>SR2-2033</t>
        </is>
      </c>
      <c r="B33" s="6" t="inlineStr">
        <is>
          <t>A partilha do DAS a partir de 2027 será redefinida (LC 214/2025); o cálculo usa a partilha atual como aproximação da fatia de IBS/CBS.</t>
        </is>
      </c>
    </row>
    <row r="34">
      <c r="A34" s="6" t="inlineStr">
        <is>
          <t>SR3-2027</t>
        </is>
      </c>
      <c r="B34" s="6" t="inlineStr">
        <is>
          <t>A partilha do DAS a partir de 2027 será redefinida (LC 214/2025); o cálculo usa a partilha atual como aproximação da fatia de IBS/CBS.</t>
        </is>
      </c>
    </row>
    <row r="35">
      <c r="A35" s="6" t="inlineStr">
        <is>
          <t>SR3-2033</t>
        </is>
      </c>
      <c r="B35" s="6" t="inlineStr">
        <is>
          <t>A partilha do DAS a partir de 2027 será redefinida (LC 214/2025); o cálculo usa a partilha atual como aproximação da fatia de IBS/CBS.</t>
        </is>
      </c>
    </row>
    <row r="36">
      <c r="A36" s="6" t="inlineStr">
        <is>
          <t>AU1-PF</t>
        </is>
      </c>
      <c r="B36" s="6" t="inlineStr">
        <is>
          <t>Quem presta serviço a empresas tem 11% de INSS retido e a empresa paga mais 20% (custo para o cliente).</t>
        </is>
      </c>
    </row>
    <row r="37">
      <c r="A37" s="6" t="inlineStr">
        <is>
          <t>AU1-MEI</t>
        </is>
      </c>
      <c r="B37" s="6" t="inlineStr">
        <is>
          <t>O lucro do MEI acima da parcela isenta (receita x 32% em serviços, 8% em comércio, ou o lucro escriturado) entra na declaração anual de IRPF.</t>
        </is>
      </c>
    </row>
    <row r="38">
      <c r="A38" s="6" t="inlineStr">
        <is>
          <t>AU1-SN</t>
        </is>
      </c>
      <c r="B38" s="6" t="inlineStr">
        <is>
          <t>Estimativa com faturamento mensal constante; o DAS real varia mês a mês com o RBT12.</t>
        </is>
      </c>
    </row>
    <row r="39">
      <c r="A39" s="6" t="inlineStr">
        <is>
          <t>AU1-SN</t>
        </is>
      </c>
      <c r="B39" s="6" t="inlineStr">
        <is>
          <t>Comparados pró-labore mínimo e pró-labore para fator R de 28%; escolhido: Anexo III, pró-labore de R$ 1.680,01.</t>
        </is>
      </c>
    </row>
    <row r="40">
      <c r="A40" s="6" t="inlineStr">
        <is>
          <t>AU2-PF</t>
        </is>
      </c>
      <c r="B40" s="6" t="inlineStr">
        <is>
          <t>Livro-caixa só é dedutível para quem recebe de pessoas físicas e escritura as despesas; substitui o desconto simplificado quando for maior.</t>
        </is>
      </c>
    </row>
    <row r="41">
      <c r="A41" s="6" t="inlineStr">
        <is>
          <t>AU2-PF</t>
        </is>
      </c>
      <c r="B41" s="6" t="inlineStr">
        <is>
          <t>Quem presta serviço a empresas tem 11% de INSS retido e a empresa paga mais 20% (custo para o cliente).</t>
        </is>
      </c>
    </row>
    <row r="42">
      <c r="A42" s="6" t="inlineStr">
        <is>
          <t>AU2-SN</t>
        </is>
      </c>
      <c r="B42" s="6" t="inlineStr">
        <is>
          <t>Estimativa com faturamento mensal constante; o DAS real varia mês a mês com o RBT12.</t>
        </is>
      </c>
    </row>
    <row r="43">
      <c r="A43" s="6" t="inlineStr">
        <is>
          <t>AU2-SN</t>
        </is>
      </c>
      <c r="B43" s="6" t="inlineStr">
        <is>
          <t>Comparados pró-labore mínimo e pró-labore para fator R de 28%; escolhido: Anexo III, pró-labore de R$ 4.200,01.</t>
        </is>
      </c>
    </row>
    <row r="44">
      <c r="A44" s="6" t="inlineStr">
        <is>
          <t>AU3-PF</t>
        </is>
      </c>
      <c r="B44" s="6" t="inlineStr">
        <is>
          <t>Quem presta serviço a empresas tem 11% de INSS retido e a empresa paga mais 20% (custo para o cliente).</t>
        </is>
      </c>
    </row>
    <row r="45">
      <c r="A45" s="6" t="inlineStr">
        <is>
          <t>AU3-SN</t>
        </is>
      </c>
      <c r="B45" s="6" t="inlineStr">
        <is>
          <t>Estimativa com faturamento mensal constante; o DAS real varia mês a mês com o RBT12.</t>
        </is>
      </c>
    </row>
    <row r="46">
      <c r="A46" s="6" t="inlineStr">
        <is>
          <t>AU3-SN</t>
        </is>
      </c>
      <c r="B46" s="6" t="inlineStr">
        <is>
          <t>Comparados pró-labore mínimo e pró-labore para fator R de 28%; escolhido: Anexo III, pró-labore de R$ 11.200,01.</t>
        </is>
      </c>
    </row>
    <row r="47">
      <c r="A47" s="6" t="inlineStr">
        <is>
          <t>REC1</t>
        </is>
      </c>
      <c r="B47" s="6" t="inlineStr">
        <is>
          <t>Indício, não certeza: a estimativa supõe que a receita desses itens foi declarada no PGDAS-D sem segregação. Confira o que foi declarado em cada mês antes de retificar.</t>
        </is>
      </c>
    </row>
    <row r="48">
      <c r="A48" s="6" t="inlineStr">
        <is>
          <t>REC1</t>
        </is>
      </c>
      <c r="B48" s="6" t="inlineStr">
        <is>
          <t>A lista de NCM é inicial e precisa ser conferida na tabela oficial da Receita Federal; o NCM completo (subitem) define se o produto é monofásico.</t>
        </is>
      </c>
    </row>
    <row r="49">
      <c r="A49" s="6" t="inlineStr">
        <is>
          <t>REC1</t>
        </is>
      </c>
      <c r="B49" s="6" t="inlineStr">
        <is>
          <t>Valores recolhidos a maior podem ser compensados ou restituídos em até 5 anos (CTN, art. 168); o cálculo cobre apenas o período importado.</t>
        </is>
      </c>
    </row>
    <row r="50">
      <c r="A50" s="6" t="inlineStr">
        <is>
          <t>REC2</t>
        </is>
      </c>
      <c r="B50" s="6" t="inlineStr">
        <is>
          <t>Indício, não certeza: a estimativa supõe que a receita desses itens foi declarada no PGDAS-D sem segregação. Confira o que foi declarado em cada mês antes de retificar.</t>
        </is>
      </c>
    </row>
    <row r="51">
      <c r="A51" s="6" t="inlineStr">
        <is>
          <t>REC2</t>
        </is>
      </c>
      <c r="B51" s="6" t="inlineStr">
        <is>
          <t>A lista de NCM é inicial e precisa ser conferida na tabela oficial da Receita Federal; o NCM completo (subitem) define se o produto é monofásico.</t>
        </is>
      </c>
    </row>
    <row r="52">
      <c r="A52" s="6" t="inlineStr">
        <is>
          <t>REC2</t>
        </is>
      </c>
      <c r="B52" s="6" t="inlineStr">
        <is>
          <t>Em 2026-01 o ICMS já é recolhido fora do DAS (receita acima de R$ 3,6 milhões): não há economia de ICMS nesses meses.</t>
        </is>
      </c>
    </row>
    <row r="53">
      <c r="A53" s="6" t="inlineStr">
        <is>
          <t>REC2</t>
        </is>
      </c>
      <c r="B53" s="6" t="inlineStr">
        <is>
          <t>Valores recolhidos a maior podem ser compensados ou restituídos em até 5 anos (CTN, art. 168); o cálculo cobre apenas o período importado.</t>
        </is>
      </c>
    </row>
    <row r="54">
      <c r="A54" s="6" t="inlineStr">
        <is>
          <t>REC3</t>
        </is>
      </c>
      <c r="B54" s="6" t="inlineStr">
        <is>
          <t>Indício, não certeza: a estimativa supõe que a receita desses itens foi declarada no PGDAS-D sem segregação. Confira o que foi declarado em cada mês antes de retificar.</t>
        </is>
      </c>
    </row>
    <row r="55">
      <c r="A55" s="6" t="inlineStr">
        <is>
          <t>REC3</t>
        </is>
      </c>
      <c r="B55" s="6" t="inlineStr">
        <is>
          <t>A lista de NCM é inicial e precisa ser conferida na tabela oficial da Receita Federal; o NCM completo (subitem) define se o produto é monofásico.</t>
        </is>
      </c>
    </row>
    <row r="56">
      <c r="A56" s="6" t="inlineStr">
        <is>
          <t>REC3</t>
        </is>
      </c>
      <c r="B56" s="6" t="inlineStr">
        <is>
          <t>Valores recolhidos a maior podem ser compensados ou restituídos em até 5 anos (CTN, art. 168); o cálculo cobre apenas o período importado.</t>
        </is>
      </c>
    </row>
    <row r="57">
      <c r="A57" s="6" t="inlineStr">
        <is>
          <t>AV1</t>
        </is>
      </c>
      <c r="B57"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58">
      <c r="A58" s="6" t="inlineStr">
        <is>
          <t>AV2</t>
        </is>
      </c>
      <c r="B58"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2026-10-13T22:28:56Z</dcterms:created>
  <dcterms:modified xsi:type="dcterms:W3CDTF">2026-10-13T22:28:57Z</dcterms:modified>
</cp:coreProperties>
</file>