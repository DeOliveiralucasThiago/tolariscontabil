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ções" sheetId="1" state="visible" r:id="rId1"/>
    <sheet name="Casos" sheetId="2" state="visible" r:id="rId2"/>
    <sheet name="Memória de cálculo" sheetId="3" state="visible" r:id="rId3"/>
    <sheet name="Alertas" sheetId="4" state="visible" r:id="rId4"/>
  </sheets>
  <definedNames>
    <definedName name="_xlnm._FilterDatabase" localSheetId="1" hidden="1">'Casos'!$A$1:$I$284</definedName>
    <definedName name="_xlnm._FilterDatabase" localSheetId="2" hidden="1">'Memória de cálculo'!$A$1:$E$534</definedName>
  </definedNames>
  <calcPr calcId="124519" fullCalcOnLoad="1"/>
</workbook>
</file>

<file path=xl/styles.xml><?xml version="1.0" encoding="utf-8"?>
<styleSheet xmlns="http://schemas.openxmlformats.org/spreadsheetml/2006/main">
  <numFmts count="2">
    <numFmt numFmtId="164" formatCode="&quot;R$&quot; #,##0.00;-&quot;R$&quot; #,##0.00;&quot;-&quot;"/>
    <numFmt numFmtId="165" formatCode="0.0000%"/>
  </numFmts>
  <fonts count="5">
    <font>
      <name val="Calibri"/>
      <family val="2"/>
      <color theme="1"/>
      <sz val="11"/>
      <scheme val="minor"/>
    </font>
    <font>
      <name val="Arial"/>
      <b val="1"/>
      <color rgb="001F3A5F"/>
      <sz val="14"/>
    </font>
    <font>
      <name val="Arial"/>
    </font>
    <font>
      <name val="Arial"/>
      <b val="1"/>
    </font>
    <font>
      <name val="Arial"/>
      <b val="1"/>
      <color rgb="00FFFFFF"/>
    </font>
  </fonts>
  <fills count="5">
    <fill>
      <patternFill/>
    </fill>
    <fill>
      <patternFill patternType="gray125"/>
    </fill>
    <fill>
      <patternFill patternType="solid">
        <fgColor rgb="001F3A5F"/>
      </patternFill>
    </fill>
    <fill>
      <patternFill patternType="solid">
        <fgColor rgb="00FFF2CC"/>
      </patternFill>
    </fill>
    <fill>
      <patternFill patternType="solid">
        <fgColor rgb="00F2F2F2"/>
      </patternFill>
    </fill>
  </fills>
  <borders count="2">
    <border>
      <left/>
      <right/>
      <top/>
      <bottom/>
      <diagonal/>
    </border>
    <border>
      <bottom style="thin">
        <color rgb="00D9D9D9"/>
      </bottom>
    </border>
  </borders>
  <cellStyleXfs count="1">
    <xf numFmtId="0" fontId="0" fillId="0" borderId="0"/>
  </cellStyleXfs>
  <cellXfs count="20">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vertical="top"/>
    </xf>
    <xf numFmtId="164" fontId="2"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164" fontId="3" fillId="0" borderId="1" applyAlignment="1" pivotButton="0" quotePrefix="0" xfId="0">
      <alignment vertical="top"/>
    </xf>
    <xf numFmtId="164" fontId="3"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164" fontId="2" fillId="4" borderId="1" applyAlignment="1" pivotButton="0" quotePrefix="0" xfId="0">
      <alignment vertical="top"/>
    </xf>
    <xf numFmtId="0" fontId="3" fillId="4" borderId="1" applyAlignment="1" pivotButton="0" quotePrefix="0" xfId="0">
      <alignment vertical="top"/>
    </xf>
    <xf numFmtId="0" fontId="3" fillId="4" borderId="1" applyAlignment="1" pivotButton="0" quotePrefix="0" xfId="0">
      <alignment vertical="top" wrapText="1"/>
    </xf>
    <xf numFmtId="164" fontId="3" fillId="4" borderId="1" applyAlignment="1" pivotButton="0" quotePrefix="0" xfId="0">
      <alignment vertical="top"/>
    </xf>
    <xf numFmtId="165"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Tolaris</author>
  </authors>
  <commentList>
    <comment ref="E1" authorId="0" shapeId="0">
      <text>
        <t>Valor calculado pelo tolaris_motor (Python). Não editar.</t>
      </text>
    </comment>
    <comment ref="F1" authorId="0" shapeId="0">
      <text>
        <t>Preencha com o valor que você apuraria para conferência.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Tolaris — validação do motor de cálculo (Fase 0)</t>
        </is>
      </c>
    </row>
    <row r="2">
      <c r="A2" s="2" t="inlineStr">
        <is>
          <t>Gerado em 13/10/2026 com o motor tolaris_motor. 67 casos.</t>
        </is>
      </c>
    </row>
    <row r="3">
      <c r="A3" s="2" t="inlineStr"/>
    </row>
    <row r="4">
      <c r="A4" s="3" t="inlineStr">
        <is>
          <t>Como conferir:</t>
        </is>
      </c>
    </row>
    <row r="5">
      <c r="A5" s="2" t="inlineStr">
        <is>
          <t>1. Na aba 'Casos', cada linha é um tributo calculado pelo motor (coluna 'Valor do motor').</t>
        </is>
      </c>
    </row>
    <row r="6">
      <c r="A6" s="2" t="inlineStr">
        <is>
          <t>2. Preencha a coluna amarela 'Valor correto' com o valor que você apuraria.</t>
        </is>
      </c>
    </row>
    <row r="7">
      <c r="A7" s="2" t="inlineStr">
        <is>
          <t>3. A coluna 'Diferença' é calculada automaticamente; marque 'Confere?' e explique divergências em 'Observações'.</t>
        </is>
      </c>
    </row>
    <row r="8">
      <c r="A8" s="2" t="inlineStr">
        <is>
          <t>4. A aba 'Memória de cálculo' mostra cada passo, a fórmula usada e a base legal.</t>
        </is>
      </c>
    </row>
    <row r="9">
      <c r="A9" s="2" t="inlineStr">
        <is>
          <t>5. A aba 'Alertas' lista as premissas e limitações de cada caso.</t>
        </is>
      </c>
    </row>
    <row r="10">
      <c r="A10" s="2" t="inlineStr"/>
    </row>
    <row r="11">
      <c r="A11" s="3" t="inlineStr">
        <is>
          <t>Premissas gerais:</t>
        </is>
      </c>
    </row>
    <row r="12">
      <c r="A12" s="2" t="inlineStr">
        <is>
          <t>• Valores anuais com faturamento mensal constante (RBT12 = receita anual no Simples).</t>
        </is>
      </c>
    </row>
    <row r="13">
      <c r="A13" s="2" t="inlineStr">
        <is>
          <t>• Encargos CLT no Presumido/Real: CPP 20% + RAT 2% + terceiros 5,8%; pró-labore: CPP 20%. FGTS não é tributo e fica fora do total.</t>
        </is>
      </c>
    </row>
    <row r="14">
      <c r="A14" s="2" t="inlineStr">
        <is>
          <t>• ICMS não cumulativo (débito - crédito sobre compras), 18% nas vendas e nas compras, salvo indicação.</t>
        </is>
      </c>
    </row>
    <row r="15">
      <c r="A15" s="2" t="inlineStr">
        <is>
          <t>• Lucro Real: estimativa gerencial sem LALUR detalhado; todo o estoque comprado é vendido no ano.</t>
        </is>
      </c>
    </row>
    <row r="16">
      <c r="A16" s="2" t="inlineStr">
        <is>
          <t>• Reforma: alíquotas de referência estimadas CBS 8,8% e IBS 17,7% (ainda não fixadas pelo Senado).</t>
        </is>
      </c>
    </row>
    <row r="17">
      <c r="A17" s="2" t="inlineStr"/>
    </row>
    <row r="18">
      <c r="A18" s="2" t="inlineStr">
        <is>
          <t>Exemplo de preenchimento: se o motor indicar R$ 28.800,00 de IRPJ e você apurar R$ 28.800,00, digite 28800 em 'Valor correto' e escolha 'Sim' em 'Confere?'.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4"/>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70" customWidth="1" min="3" max="3"/>
    <col width="32" customWidth="1" min="4" max="4"/>
    <col width="18" customWidth="1" min="5" max="5"/>
    <col width="18" customWidth="1" min="6" max="6"/>
    <col width="16" customWidth="1" min="7" max="7"/>
    <col width="11" customWidth="1" min="8" max="8"/>
    <col width="40" customWidth="1" min="9" max="9"/>
  </cols>
  <sheetData>
    <row r="1" ht="30" customHeight="1">
      <c r="A1" s="4" t="inlineStr">
        <is>
          <t>Caso</t>
        </is>
      </c>
      <c r="B1" s="4" t="inlineStr">
        <is>
          <t>Módulo</t>
        </is>
      </c>
      <c r="C1" s="4" t="inlineStr">
        <is>
          <t>Entradas</t>
        </is>
      </c>
      <c r="D1" s="4" t="inlineStr">
        <is>
          <t>Tributo</t>
        </is>
      </c>
      <c r="E1" s="4" t="inlineStr">
        <is>
          <t>Valor do motor (R$)</t>
        </is>
      </c>
      <c r="F1" s="4" t="inlineStr">
        <is>
          <t>Valor correto (R$)</t>
        </is>
      </c>
      <c r="G1" s="4" t="inlineStr">
        <is>
          <t>Diferença (R$)</t>
        </is>
      </c>
      <c r="H1" s="4" t="inlineStr">
        <is>
          <t>Confere?</t>
        </is>
      </c>
      <c r="I1" s="4" t="inlineStr">
        <is>
          <t>Observações do contador</t>
        </is>
      </c>
    </row>
    <row r="2">
      <c r="A2" s="5" t="inlineStr">
        <is>
          <t>E1-SN</t>
        </is>
      </c>
      <c r="B2" s="5" t="inlineStr">
        <is>
          <t>Simples Nacional</t>
        </is>
      </c>
      <c r="C2" s="6" t="inlineStr">
        <is>
          <t>servico_fator_r; receita R$ 600.000,00/ano; folha CLT R$ 96.000,00; pró-labore R$ 60.000,00; ano 2026; ISS 5%</t>
        </is>
      </c>
      <c r="D2" s="5" t="inlineStr">
        <is>
          <t>DAS</t>
        </is>
      </c>
      <c r="E2" s="7" t="n">
        <v>107100</v>
      </c>
      <c r="F2" s="8" t="n"/>
      <c r="G2" s="7">
        <f>IF(F2="","",E2-F2)</f>
        <v/>
      </c>
      <c r="H2" s="5" t="n"/>
      <c r="I2" s="6" t="n"/>
    </row>
    <row r="3">
      <c r="A3" s="9" t="inlineStr">
        <is>
          <t>E1-SN</t>
        </is>
      </c>
      <c r="B3" s="9" t="inlineStr">
        <is>
          <t>Simples Nacional</t>
        </is>
      </c>
      <c r="C3" s="10" t="inlineStr">
        <is>
          <t>servico_fator_r; receita R$ 600.000,00/ano; folha CLT R$ 96.000,00; pró-labore R$ 60.000,00; ano 2026; ISS 5%</t>
        </is>
      </c>
      <c r="D3" s="9" t="inlineStr">
        <is>
          <t>TOTAL</t>
        </is>
      </c>
      <c r="E3" s="11">
        <f>SUM(E2:E2)</f>
        <v/>
      </c>
      <c r="F3" s="12" t="n"/>
      <c r="G3" s="11">
        <f>IF(F3="","",E3-F3)</f>
        <v/>
      </c>
      <c r="H3" s="9" t="n"/>
      <c r="I3" s="10" t="n"/>
    </row>
    <row r="4">
      <c r="A4" s="13" t="inlineStr">
        <is>
          <t>E1-LP</t>
        </is>
      </c>
      <c r="B4" s="13" t="inlineStr">
        <is>
          <t>Lucro Presumido</t>
        </is>
      </c>
      <c r="C4" s="14" t="inlineStr">
        <is>
          <t>servico_fator_r; receita R$ 600.000,00/ano; folha CLT R$ 96.000,00; pró-labore R$ 60.000,00; ano 2026; ISS 5%</t>
        </is>
      </c>
      <c r="D4" s="13" t="inlineStr">
        <is>
          <t>IRPJ</t>
        </is>
      </c>
      <c r="E4" s="15" t="n">
        <v>28800</v>
      </c>
      <c r="F4" s="8" t="n"/>
      <c r="G4" s="15">
        <f>IF(F4="","",E4-F4)</f>
        <v/>
      </c>
      <c r="H4" s="13" t="n"/>
      <c r="I4" s="14" t="n"/>
    </row>
    <row r="5">
      <c r="A5" s="13" t="inlineStr">
        <is>
          <t>E1-LP</t>
        </is>
      </c>
      <c r="B5" s="13" t="inlineStr">
        <is>
          <t>Lucro Presumido</t>
        </is>
      </c>
      <c r="C5" s="14" t="inlineStr">
        <is>
          <t>servico_fator_r; receita R$ 600.000,00/ano; folha CLT R$ 96.000,00; pró-labore R$ 60.000,00; ano 2026; ISS 5%</t>
        </is>
      </c>
      <c r="D5" s="13" t="inlineStr">
        <is>
          <t>CSLL</t>
        </is>
      </c>
      <c r="E5" s="15" t="n">
        <v>17280</v>
      </c>
      <c r="F5" s="8" t="n"/>
      <c r="G5" s="15">
        <f>IF(F5="","",E5-F5)</f>
        <v/>
      </c>
      <c r="H5" s="13" t="n"/>
      <c r="I5" s="14" t="n"/>
    </row>
    <row r="6">
      <c r="A6" s="13" t="inlineStr">
        <is>
          <t>E1-LP</t>
        </is>
      </c>
      <c r="B6" s="13" t="inlineStr">
        <is>
          <t>Lucro Presumido</t>
        </is>
      </c>
      <c r="C6" s="14" t="inlineStr">
        <is>
          <t>servico_fator_r; receita R$ 600.000,00/ano; folha CLT R$ 96.000,00; pró-labore R$ 60.000,00; ano 2026; ISS 5%</t>
        </is>
      </c>
      <c r="D6" s="13" t="inlineStr">
        <is>
          <t>PIS</t>
        </is>
      </c>
      <c r="E6" s="15" t="n">
        <v>3900</v>
      </c>
      <c r="F6" s="8" t="n"/>
      <c r="G6" s="15">
        <f>IF(F6="","",E6-F6)</f>
        <v/>
      </c>
      <c r="H6" s="13" t="n"/>
      <c r="I6" s="14" t="n"/>
    </row>
    <row r="7">
      <c r="A7" s="13" t="inlineStr">
        <is>
          <t>E1-LP</t>
        </is>
      </c>
      <c r="B7" s="13" t="inlineStr">
        <is>
          <t>Lucro Presumido</t>
        </is>
      </c>
      <c r="C7" s="14" t="inlineStr">
        <is>
          <t>servico_fator_r; receita R$ 600.000,00/ano; folha CLT R$ 96.000,00; pró-labore R$ 60.000,00; ano 2026; ISS 5%</t>
        </is>
      </c>
      <c r="D7" s="13" t="inlineStr">
        <is>
          <t>Cofins</t>
        </is>
      </c>
      <c r="E7" s="15" t="n">
        <v>18000</v>
      </c>
      <c r="F7" s="8" t="n"/>
      <c r="G7" s="15">
        <f>IF(F7="","",E7-F7)</f>
        <v/>
      </c>
      <c r="H7" s="13" t="n"/>
      <c r="I7" s="14" t="n"/>
    </row>
    <row r="8">
      <c r="A8" s="13" t="inlineStr">
        <is>
          <t>E1-LP</t>
        </is>
      </c>
      <c r="B8" s="13" t="inlineStr">
        <is>
          <t>Lucro Presumido</t>
        </is>
      </c>
      <c r="C8" s="14" t="inlineStr">
        <is>
          <t>servico_fator_r; receita R$ 600.000,00/ano; folha CLT R$ 96.000,00; pró-labore R$ 60.000,00; ano 2026; ISS 5%</t>
        </is>
      </c>
      <c r="D8" s="13" t="inlineStr">
        <is>
          <t>ISS</t>
        </is>
      </c>
      <c r="E8" s="15" t="n">
        <v>30000</v>
      </c>
      <c r="F8" s="8" t="n"/>
      <c r="G8" s="15">
        <f>IF(F8="","",E8-F8)</f>
        <v/>
      </c>
      <c r="H8" s="13" t="n"/>
      <c r="I8" s="14" t="n"/>
    </row>
    <row r="9">
      <c r="A9" s="13" t="inlineStr">
        <is>
          <t>E1-LP</t>
        </is>
      </c>
      <c r="B9" s="13" t="inlineStr">
        <is>
          <t>Lucro Presumido</t>
        </is>
      </c>
      <c r="C9" s="14" t="inlineStr">
        <is>
          <t>servico_fator_r; receita R$ 600.000,00/ano; folha CLT R$ 96.000,00; pró-labore R$ 60.000,00; ano 2026; ISS 5%</t>
        </is>
      </c>
      <c r="D9" s="13" t="inlineStr">
        <is>
          <t>INSS patronal</t>
        </is>
      </c>
      <c r="E9" s="15" t="n">
        <v>38688</v>
      </c>
      <c r="F9" s="8" t="n"/>
      <c r="G9" s="15">
        <f>IF(F9="","",E9-F9)</f>
        <v/>
      </c>
      <c r="H9" s="13" t="n"/>
      <c r="I9" s="14" t="n"/>
    </row>
    <row r="10">
      <c r="A10" s="16" t="inlineStr">
        <is>
          <t>E1-LP</t>
        </is>
      </c>
      <c r="B10" s="16" t="inlineStr">
        <is>
          <t>Lucro Presumido</t>
        </is>
      </c>
      <c r="C10" s="17" t="inlineStr">
        <is>
          <t>servico_fator_r; receita R$ 600.000,00/ano; folha CLT R$ 96.000,00; pró-labore R$ 60.000,00; ano 2026; ISS 5%</t>
        </is>
      </c>
      <c r="D10" s="16" t="inlineStr">
        <is>
          <t>TOTAL</t>
        </is>
      </c>
      <c r="E10" s="18">
        <f>SUM(E4:E9)</f>
        <v/>
      </c>
      <c r="F10" s="12" t="n"/>
      <c r="G10" s="18">
        <f>IF(F10="","",E10-F10)</f>
        <v/>
      </c>
      <c r="H10" s="16" t="n"/>
      <c r="I10" s="17" t="n"/>
    </row>
    <row r="11">
      <c r="A11" s="5" t="inlineStr">
        <is>
          <t>E1-LR</t>
        </is>
      </c>
      <c r="B11" s="5" t="inlineStr">
        <is>
          <t>Lucro Real</t>
        </is>
      </c>
      <c r="C11" s="6" t="inlineStr">
        <is>
          <t>servico_fator_r; receita R$ 600.000,00/ano; folha CLT R$ 96.000,00; pró-labore R$ 60.000,00; ano 2026; ISS 5%</t>
        </is>
      </c>
      <c r="D11" s="5" t="inlineStr">
        <is>
          <t>PIS</t>
        </is>
      </c>
      <c r="E11" s="7" t="n">
        <v>9900</v>
      </c>
      <c r="F11" s="8" t="n"/>
      <c r="G11" s="7">
        <f>IF(F11="","",E11-F11)</f>
        <v/>
      </c>
      <c r="H11" s="5" t="n"/>
      <c r="I11" s="6" t="n"/>
    </row>
    <row r="12">
      <c r="A12" s="5" t="inlineStr">
        <is>
          <t>E1-LR</t>
        </is>
      </c>
      <c r="B12" s="5" t="inlineStr">
        <is>
          <t>Lucro Real</t>
        </is>
      </c>
      <c r="C12" s="6" t="inlineStr">
        <is>
          <t>servico_fator_r; receita R$ 600.000,00/ano; folha CLT R$ 96.000,00; pró-labore R$ 60.000,00; ano 2026; ISS 5%</t>
        </is>
      </c>
      <c r="D12" s="5" t="inlineStr">
        <is>
          <t>Cofins</t>
        </is>
      </c>
      <c r="E12" s="7" t="n">
        <v>45600</v>
      </c>
      <c r="F12" s="8" t="n"/>
      <c r="G12" s="7">
        <f>IF(F12="","",E12-F12)</f>
        <v/>
      </c>
      <c r="H12" s="5" t="n"/>
      <c r="I12" s="6" t="n"/>
    </row>
    <row r="13">
      <c r="A13" s="5" t="inlineStr">
        <is>
          <t>E1-LR</t>
        </is>
      </c>
      <c r="B13" s="5" t="inlineStr">
        <is>
          <t>Lucro Real</t>
        </is>
      </c>
      <c r="C13" s="6" t="inlineStr">
        <is>
          <t>servico_fator_r; receita R$ 600.000,00/ano; folha CLT R$ 96.000,00; pró-labore R$ 60.000,00; ano 2026; ISS 5%</t>
        </is>
      </c>
      <c r="D13" s="5" t="inlineStr">
        <is>
          <t>ISS</t>
        </is>
      </c>
      <c r="E13" s="7" t="n">
        <v>30000</v>
      </c>
      <c r="F13" s="8" t="n"/>
      <c r="G13" s="7">
        <f>IF(F13="","",E13-F13)</f>
        <v/>
      </c>
      <c r="H13" s="5" t="n"/>
      <c r="I13" s="6" t="n"/>
    </row>
    <row r="14">
      <c r="A14" s="5" t="inlineStr">
        <is>
          <t>E1-LR</t>
        </is>
      </c>
      <c r="B14" s="5" t="inlineStr">
        <is>
          <t>Lucro Real</t>
        </is>
      </c>
      <c r="C14" s="6" t="inlineStr">
        <is>
          <t>servico_fator_r; receita R$ 600.000,00/ano; folha CLT R$ 96.000,00; pró-labore R$ 60.000,00; ano 2026; ISS 5%</t>
        </is>
      </c>
      <c r="D14" s="5" t="inlineStr">
        <is>
          <t>INSS patronal</t>
        </is>
      </c>
      <c r="E14" s="7" t="n">
        <v>38688</v>
      </c>
      <c r="F14" s="8" t="n"/>
      <c r="G14" s="7">
        <f>IF(F14="","",E14-F14)</f>
        <v/>
      </c>
      <c r="H14" s="5" t="n"/>
      <c r="I14" s="6" t="n"/>
    </row>
    <row r="15">
      <c r="A15" s="5" t="inlineStr">
        <is>
          <t>E1-LR</t>
        </is>
      </c>
      <c r="B15" s="5" t="inlineStr">
        <is>
          <t>Lucro Real</t>
        </is>
      </c>
      <c r="C15" s="6" t="inlineStr">
        <is>
          <t>servico_fator_r; receita R$ 600.000,00/ano; folha CLT R$ 96.000,00; pró-labore R$ 60.000,00; ano 2026; ISS 5%</t>
        </is>
      </c>
      <c r="D15" s="5" t="inlineStr">
        <is>
          <t>IRPJ</t>
        </is>
      </c>
      <c r="E15" s="7" t="n">
        <v>54033</v>
      </c>
      <c r="F15" s="8" t="n"/>
      <c r="G15" s="7">
        <f>IF(F15="","",E15-F15)</f>
        <v/>
      </c>
      <c r="H15" s="5" t="n"/>
      <c r="I15" s="6" t="n"/>
    </row>
    <row r="16">
      <c r="A16" s="5" t="inlineStr">
        <is>
          <t>E1-LR</t>
        </is>
      </c>
      <c r="B16" s="5" t="inlineStr">
        <is>
          <t>Lucro Real</t>
        </is>
      </c>
      <c r="C16" s="6" t="inlineStr">
        <is>
          <t>servico_fator_r; receita R$ 600.000,00/ano; folha CLT R$ 96.000,00; pró-labore R$ 60.000,00; ano 2026; ISS 5%</t>
        </is>
      </c>
      <c r="D16" s="5" t="inlineStr">
        <is>
          <t>CSLL</t>
        </is>
      </c>
      <c r="E16" s="7" t="n">
        <v>28091.88</v>
      </c>
      <c r="F16" s="8" t="n"/>
      <c r="G16" s="7">
        <f>IF(F16="","",E16-F16)</f>
        <v/>
      </c>
      <c r="H16" s="5" t="n"/>
      <c r="I16" s="6" t="n"/>
    </row>
    <row r="17">
      <c r="A17" s="9" t="inlineStr">
        <is>
          <t>E1-LR</t>
        </is>
      </c>
      <c r="B17" s="9" t="inlineStr">
        <is>
          <t>Lucro Real</t>
        </is>
      </c>
      <c r="C17" s="10" t="inlineStr">
        <is>
          <t>servico_fator_r; receita R$ 600.000,00/ano; folha CLT R$ 96.000,00; pró-labore R$ 60.000,00; ano 2026; ISS 5%</t>
        </is>
      </c>
      <c r="D17" s="9" t="inlineStr">
        <is>
          <t>TOTAL</t>
        </is>
      </c>
      <c r="E17" s="11">
        <f>SUM(E11:E16)</f>
        <v/>
      </c>
      <c r="F17" s="12" t="n"/>
      <c r="G17" s="11">
        <f>IF(F17="","",E17-F17)</f>
        <v/>
      </c>
      <c r="H17" s="9" t="n"/>
      <c r="I17" s="10" t="n"/>
    </row>
    <row r="18">
      <c r="A18" s="13" t="inlineStr">
        <is>
          <t>E2-SN</t>
        </is>
      </c>
      <c r="B18" s="13" t="inlineStr">
        <is>
          <t>Simples Nacional</t>
        </is>
      </c>
      <c r="C18" s="14" t="inlineStr">
        <is>
          <t>servico_fator_r; receita R$ 600.000,00/ano; folha CLT R$ 96.000,00; pró-labore R$ 72.000,00; ano 2026; ISS 5%</t>
        </is>
      </c>
      <c r="D18" s="13" t="inlineStr">
        <is>
          <t>DAS</t>
        </is>
      </c>
      <c r="E18" s="15" t="n">
        <v>63360</v>
      </c>
      <c r="F18" s="8" t="n"/>
      <c r="G18" s="15">
        <f>IF(F18="","",E18-F18)</f>
        <v/>
      </c>
      <c r="H18" s="13" t="n"/>
      <c r="I18" s="14" t="n"/>
    </row>
    <row r="19">
      <c r="A19" s="16" t="inlineStr">
        <is>
          <t>E2-SN</t>
        </is>
      </c>
      <c r="B19" s="16" t="inlineStr">
        <is>
          <t>Simples Nacional</t>
        </is>
      </c>
      <c r="C19" s="17" t="inlineStr">
        <is>
          <t>servico_fator_r; receita R$ 600.000,00/ano; folha CLT R$ 96.000,00; pró-labore R$ 72.000,00; ano 2026; ISS 5%</t>
        </is>
      </c>
      <c r="D19" s="16" t="inlineStr">
        <is>
          <t>TOTAL</t>
        </is>
      </c>
      <c r="E19" s="18">
        <f>SUM(E18:E18)</f>
        <v/>
      </c>
      <c r="F19" s="12" t="n"/>
      <c r="G19" s="18">
        <f>IF(F19="","",E19-F19)</f>
        <v/>
      </c>
      <c r="H19" s="16" t="n"/>
      <c r="I19" s="17" t="n"/>
    </row>
    <row r="20">
      <c r="A20" s="5" t="inlineStr">
        <is>
          <t>E2-LP</t>
        </is>
      </c>
      <c r="B20" s="5" t="inlineStr">
        <is>
          <t>Lucro Presumido</t>
        </is>
      </c>
      <c r="C20" s="6" t="inlineStr">
        <is>
          <t>servico_fator_r; receita R$ 600.000,00/ano; folha CLT R$ 96.000,00; pró-labore R$ 72.000,00; ano 2026; ISS 5%</t>
        </is>
      </c>
      <c r="D20" s="5" t="inlineStr">
        <is>
          <t>IRPJ</t>
        </is>
      </c>
      <c r="E20" s="7" t="n">
        <v>28800</v>
      </c>
      <c r="F20" s="8" t="n"/>
      <c r="G20" s="7">
        <f>IF(F20="","",E20-F20)</f>
        <v/>
      </c>
      <c r="H20" s="5" t="n"/>
      <c r="I20" s="6" t="n"/>
    </row>
    <row r="21">
      <c r="A21" s="5" t="inlineStr">
        <is>
          <t>E2-LP</t>
        </is>
      </c>
      <c r="B21" s="5" t="inlineStr">
        <is>
          <t>Lucro Presumido</t>
        </is>
      </c>
      <c r="C21" s="6" t="inlineStr">
        <is>
          <t>servico_fator_r; receita R$ 600.000,00/ano; folha CLT R$ 96.000,00; pró-labore R$ 72.000,00; ano 2026; ISS 5%</t>
        </is>
      </c>
      <c r="D21" s="5" t="inlineStr">
        <is>
          <t>CSLL</t>
        </is>
      </c>
      <c r="E21" s="7" t="n">
        <v>17280</v>
      </c>
      <c r="F21" s="8" t="n"/>
      <c r="G21" s="7">
        <f>IF(F21="","",E21-F21)</f>
        <v/>
      </c>
      <c r="H21" s="5" t="n"/>
      <c r="I21" s="6" t="n"/>
    </row>
    <row r="22">
      <c r="A22" s="5" t="inlineStr">
        <is>
          <t>E2-LP</t>
        </is>
      </c>
      <c r="B22" s="5" t="inlineStr">
        <is>
          <t>Lucro Presumido</t>
        </is>
      </c>
      <c r="C22" s="6" t="inlineStr">
        <is>
          <t>servico_fator_r; receita R$ 600.000,00/ano; folha CLT R$ 96.000,00; pró-labore R$ 72.000,00; ano 2026; ISS 5%</t>
        </is>
      </c>
      <c r="D22" s="5" t="inlineStr">
        <is>
          <t>PIS</t>
        </is>
      </c>
      <c r="E22" s="7" t="n">
        <v>3900</v>
      </c>
      <c r="F22" s="8" t="n"/>
      <c r="G22" s="7">
        <f>IF(F22="","",E22-F22)</f>
        <v/>
      </c>
      <c r="H22" s="5" t="n"/>
      <c r="I22" s="6" t="n"/>
    </row>
    <row r="23">
      <c r="A23" s="5" t="inlineStr">
        <is>
          <t>E2-LP</t>
        </is>
      </c>
      <c r="B23" s="5" t="inlineStr">
        <is>
          <t>Lucro Presumido</t>
        </is>
      </c>
      <c r="C23" s="6" t="inlineStr">
        <is>
          <t>servico_fator_r; receita R$ 600.000,00/ano; folha CLT R$ 96.000,00; pró-labore R$ 72.000,00; ano 2026; ISS 5%</t>
        </is>
      </c>
      <c r="D23" s="5" t="inlineStr">
        <is>
          <t>Cofins</t>
        </is>
      </c>
      <c r="E23" s="7" t="n">
        <v>18000</v>
      </c>
      <c r="F23" s="8" t="n"/>
      <c r="G23" s="7">
        <f>IF(F23="","",E23-F23)</f>
        <v/>
      </c>
      <c r="H23" s="5" t="n"/>
      <c r="I23" s="6" t="n"/>
    </row>
    <row r="24">
      <c r="A24" s="5" t="inlineStr">
        <is>
          <t>E2-LP</t>
        </is>
      </c>
      <c r="B24" s="5" t="inlineStr">
        <is>
          <t>Lucro Presumido</t>
        </is>
      </c>
      <c r="C24" s="6" t="inlineStr">
        <is>
          <t>servico_fator_r; receita R$ 600.000,00/ano; folha CLT R$ 96.000,00; pró-labore R$ 72.000,00; ano 2026; ISS 5%</t>
        </is>
      </c>
      <c r="D24" s="5" t="inlineStr">
        <is>
          <t>ISS</t>
        </is>
      </c>
      <c r="E24" s="7" t="n">
        <v>30000</v>
      </c>
      <c r="F24" s="8" t="n"/>
      <c r="G24" s="7">
        <f>IF(F24="","",E24-F24)</f>
        <v/>
      </c>
      <c r="H24" s="5" t="n"/>
      <c r="I24" s="6" t="n"/>
    </row>
    <row r="25">
      <c r="A25" s="5" t="inlineStr">
        <is>
          <t>E2-LP</t>
        </is>
      </c>
      <c r="B25" s="5" t="inlineStr">
        <is>
          <t>Lucro Presumido</t>
        </is>
      </c>
      <c r="C25" s="6" t="inlineStr">
        <is>
          <t>servico_fator_r; receita R$ 600.000,00/ano; folha CLT R$ 96.000,00; pró-labore R$ 72.000,00; ano 2026; ISS 5%</t>
        </is>
      </c>
      <c r="D25" s="5" t="inlineStr">
        <is>
          <t>INSS patronal</t>
        </is>
      </c>
      <c r="E25" s="7" t="n">
        <v>41088</v>
      </c>
      <c r="F25" s="8" t="n"/>
      <c r="G25" s="7">
        <f>IF(F25="","",E25-F25)</f>
        <v/>
      </c>
      <c r="H25" s="5" t="n"/>
      <c r="I25" s="6" t="n"/>
    </row>
    <row r="26">
      <c r="A26" s="9" t="inlineStr">
        <is>
          <t>E2-LP</t>
        </is>
      </c>
      <c r="B26" s="9" t="inlineStr">
        <is>
          <t>Lucro Presumido</t>
        </is>
      </c>
      <c r="C26" s="10" t="inlineStr">
        <is>
          <t>servico_fator_r; receita R$ 600.000,00/ano; folha CLT R$ 96.000,00; pró-labore R$ 72.000,00; ano 2026; ISS 5%</t>
        </is>
      </c>
      <c r="D26" s="9" t="inlineStr">
        <is>
          <t>TOTAL</t>
        </is>
      </c>
      <c r="E26" s="11">
        <f>SUM(E20:E25)</f>
        <v/>
      </c>
      <c r="F26" s="12" t="n"/>
      <c r="G26" s="11">
        <f>IF(F26="","",E26-F26)</f>
        <v/>
      </c>
      <c r="H26" s="9" t="n"/>
      <c r="I26" s="10" t="n"/>
    </row>
    <row r="27">
      <c r="A27" s="13" t="inlineStr">
        <is>
          <t>E2-LR</t>
        </is>
      </c>
      <c r="B27" s="13" t="inlineStr">
        <is>
          <t>Lucro Real</t>
        </is>
      </c>
      <c r="C27" s="14" t="inlineStr">
        <is>
          <t>servico_fator_r; receita R$ 600.000,00/ano; folha CLT R$ 96.000,00; pró-labore R$ 72.000,00; ano 2026; ISS 5%</t>
        </is>
      </c>
      <c r="D27" s="13" t="inlineStr">
        <is>
          <t>PIS</t>
        </is>
      </c>
      <c r="E27" s="15" t="n">
        <v>9900</v>
      </c>
      <c r="F27" s="8" t="n"/>
      <c r="G27" s="15">
        <f>IF(F27="","",E27-F27)</f>
        <v/>
      </c>
      <c r="H27" s="13" t="n"/>
      <c r="I27" s="14" t="n"/>
    </row>
    <row r="28">
      <c r="A28" s="13" t="inlineStr">
        <is>
          <t>E2-LR</t>
        </is>
      </c>
      <c r="B28" s="13" t="inlineStr">
        <is>
          <t>Lucro Real</t>
        </is>
      </c>
      <c r="C28" s="14" t="inlineStr">
        <is>
          <t>servico_fator_r; receita R$ 600.000,00/ano; folha CLT R$ 96.000,00; pró-labore R$ 72.000,00; ano 2026; ISS 5%</t>
        </is>
      </c>
      <c r="D28" s="13" t="inlineStr">
        <is>
          <t>Cofins</t>
        </is>
      </c>
      <c r="E28" s="15" t="n">
        <v>45600</v>
      </c>
      <c r="F28" s="8" t="n"/>
      <c r="G28" s="15">
        <f>IF(F28="","",E28-F28)</f>
        <v/>
      </c>
      <c r="H28" s="13" t="n"/>
      <c r="I28" s="14" t="n"/>
    </row>
    <row r="29">
      <c r="A29" s="13" t="inlineStr">
        <is>
          <t>E2-LR</t>
        </is>
      </c>
      <c r="B29" s="13" t="inlineStr">
        <is>
          <t>Lucro Real</t>
        </is>
      </c>
      <c r="C29" s="14" t="inlineStr">
        <is>
          <t>servico_fator_r; receita R$ 600.000,00/ano; folha CLT R$ 96.000,00; pró-labore R$ 72.000,00; ano 2026; ISS 5%</t>
        </is>
      </c>
      <c r="D29" s="13" t="inlineStr">
        <is>
          <t>ISS</t>
        </is>
      </c>
      <c r="E29" s="15" t="n">
        <v>30000</v>
      </c>
      <c r="F29" s="8" t="n"/>
      <c r="G29" s="15">
        <f>IF(F29="","",E29-F29)</f>
        <v/>
      </c>
      <c r="H29" s="13" t="n"/>
      <c r="I29" s="14" t="n"/>
    </row>
    <row r="30">
      <c r="A30" s="13" t="inlineStr">
        <is>
          <t>E2-LR</t>
        </is>
      </c>
      <c r="B30" s="13" t="inlineStr">
        <is>
          <t>Lucro Real</t>
        </is>
      </c>
      <c r="C30" s="14" t="inlineStr">
        <is>
          <t>servico_fator_r; receita R$ 600.000,00/ano; folha CLT R$ 96.000,00; pró-labore R$ 72.000,00; ano 2026; ISS 5%</t>
        </is>
      </c>
      <c r="D30" s="13" t="inlineStr">
        <is>
          <t>INSS patronal</t>
        </is>
      </c>
      <c r="E30" s="15" t="n">
        <v>41088</v>
      </c>
      <c r="F30" s="8" t="n"/>
      <c r="G30" s="15">
        <f>IF(F30="","",E30-F30)</f>
        <v/>
      </c>
      <c r="H30" s="13" t="n"/>
      <c r="I30" s="14" t="n"/>
    </row>
    <row r="31">
      <c r="A31" s="13" t="inlineStr">
        <is>
          <t>E2-LR</t>
        </is>
      </c>
      <c r="B31" s="13" t="inlineStr">
        <is>
          <t>Lucro Real</t>
        </is>
      </c>
      <c r="C31" s="14" t="inlineStr">
        <is>
          <t>servico_fator_r; receita R$ 600.000,00/ano; folha CLT R$ 96.000,00; pró-labore R$ 72.000,00; ano 2026; ISS 5%</t>
        </is>
      </c>
      <c r="D31" s="13" t="inlineStr">
        <is>
          <t>IRPJ</t>
        </is>
      </c>
      <c r="E31" s="15" t="n">
        <v>50433</v>
      </c>
      <c r="F31" s="8" t="n"/>
      <c r="G31" s="15">
        <f>IF(F31="","",E31-F31)</f>
        <v/>
      </c>
      <c r="H31" s="13" t="n"/>
      <c r="I31" s="14" t="n"/>
    </row>
    <row r="32">
      <c r="A32" s="13" t="inlineStr">
        <is>
          <t>E2-LR</t>
        </is>
      </c>
      <c r="B32" s="13" t="inlineStr">
        <is>
          <t>Lucro Real</t>
        </is>
      </c>
      <c r="C32" s="14" t="inlineStr">
        <is>
          <t>servico_fator_r; receita R$ 600.000,00/ano; folha CLT R$ 96.000,00; pró-labore R$ 72.000,00; ano 2026; ISS 5%</t>
        </is>
      </c>
      <c r="D32" s="13" t="inlineStr">
        <is>
          <t>CSLL</t>
        </is>
      </c>
      <c r="E32" s="15" t="n">
        <v>26795.88</v>
      </c>
      <c r="F32" s="8" t="n"/>
      <c r="G32" s="15">
        <f>IF(F32="","",E32-F32)</f>
        <v/>
      </c>
      <c r="H32" s="13" t="n"/>
      <c r="I32" s="14" t="n"/>
    </row>
    <row r="33">
      <c r="A33" s="16" t="inlineStr">
        <is>
          <t>E2-LR</t>
        </is>
      </c>
      <c r="B33" s="16" t="inlineStr">
        <is>
          <t>Lucro Real</t>
        </is>
      </c>
      <c r="C33" s="17" t="inlineStr">
        <is>
          <t>servico_fator_r; receita R$ 600.000,00/ano; folha CLT R$ 96.000,00; pró-labore R$ 72.000,00; ano 2026; ISS 5%</t>
        </is>
      </c>
      <c r="D33" s="16" t="inlineStr">
        <is>
          <t>TOTAL</t>
        </is>
      </c>
      <c r="E33" s="18">
        <f>SUM(E27:E32)</f>
        <v/>
      </c>
      <c r="F33" s="12" t="n"/>
      <c r="G33" s="18">
        <f>IF(F33="","",E33-F33)</f>
        <v/>
      </c>
      <c r="H33" s="16" t="n"/>
      <c r="I33" s="17" t="n"/>
    </row>
    <row r="34">
      <c r="A34" s="5" t="inlineStr">
        <is>
          <t>E3-SN</t>
        </is>
      </c>
      <c r="B34" s="5" t="inlineStr">
        <is>
          <t>Simples Nacional</t>
        </is>
      </c>
      <c r="C34" s="6" t="inlineStr">
        <is>
          <t>comercio; receita R$ 2.000.000,00/ano; folha CLT R$ 240.000,00; pró-labore R$ 36.000,00; compras R$ 1.200.000,00; desp. creditáveis R$ 80.000,00; outras desp. R$ 150.000,00; ano 2026; ICMS 18%</t>
        </is>
      </c>
      <c r="D34" s="5" t="inlineStr">
        <is>
          <t>DAS</t>
        </is>
      </c>
      <c r="E34" s="7" t="n">
        <v>198700</v>
      </c>
      <c r="F34" s="8" t="n"/>
      <c r="G34" s="7">
        <f>IF(F34="","",E34-F34)</f>
        <v/>
      </c>
      <c r="H34" s="5" t="n"/>
      <c r="I34" s="6" t="n"/>
    </row>
    <row r="35">
      <c r="A35" s="9" t="inlineStr">
        <is>
          <t>E3-SN</t>
        </is>
      </c>
      <c r="B35" s="9" t="inlineStr">
        <is>
          <t>Simples Nacional</t>
        </is>
      </c>
      <c r="C35" s="10" t="inlineStr">
        <is>
          <t>comercio; receita R$ 2.000.000,00/ano; folha CLT R$ 240.000,00; pró-labore R$ 36.000,00; compras R$ 1.200.000,00; desp. creditáveis R$ 80.000,00; outras desp. R$ 150.000,00; ano 2026; ICMS 18%</t>
        </is>
      </c>
      <c r="D35" s="9" t="inlineStr">
        <is>
          <t>TOTAL</t>
        </is>
      </c>
      <c r="E35" s="11">
        <f>SUM(E34:E34)</f>
        <v/>
      </c>
      <c r="F35" s="12" t="n"/>
      <c r="G35" s="11">
        <f>IF(F35="","",E35-F35)</f>
        <v/>
      </c>
      <c r="H35" s="9" t="n"/>
      <c r="I35" s="10" t="n"/>
    </row>
    <row r="36">
      <c r="A36" s="13" t="inlineStr">
        <is>
          <t>E3-LP</t>
        </is>
      </c>
      <c r="B36" s="13" t="inlineStr">
        <is>
          <t>Lucro Presumido</t>
        </is>
      </c>
      <c r="C36" s="14" t="inlineStr">
        <is>
          <t>comercio; receita R$ 2.000.000,00/ano; folha CLT R$ 240.000,00; pró-labore R$ 36.000,00; compras R$ 1.200.000,00; desp. creditáveis R$ 80.000,00; outras desp. R$ 150.000,00; ano 2026; ICMS 18%</t>
        </is>
      </c>
      <c r="D36" s="13" t="inlineStr">
        <is>
          <t>IRPJ</t>
        </is>
      </c>
      <c r="E36" s="15" t="n">
        <v>24000</v>
      </c>
      <c r="F36" s="8" t="n"/>
      <c r="G36" s="15">
        <f>IF(F36="","",E36-F36)</f>
        <v/>
      </c>
      <c r="H36" s="13" t="n"/>
      <c r="I36" s="14" t="n"/>
    </row>
    <row r="37">
      <c r="A37" s="13" t="inlineStr">
        <is>
          <t>E3-LP</t>
        </is>
      </c>
      <c r="B37" s="13" t="inlineStr">
        <is>
          <t>Lucro Presumido</t>
        </is>
      </c>
      <c r="C37" s="14" t="inlineStr">
        <is>
          <t>comercio; receita R$ 2.000.000,00/ano; folha CLT R$ 240.000,00; pró-labore R$ 36.000,00; compras R$ 1.200.000,00; desp. creditáveis R$ 80.000,00; outras desp. R$ 150.000,00; ano 2026; ICMS 18%</t>
        </is>
      </c>
      <c r="D37" s="13" t="inlineStr">
        <is>
          <t>CSLL</t>
        </is>
      </c>
      <c r="E37" s="15" t="n">
        <v>21600</v>
      </c>
      <c r="F37" s="8" t="n"/>
      <c r="G37" s="15">
        <f>IF(F37="","",E37-F37)</f>
        <v/>
      </c>
      <c r="H37" s="13" t="n"/>
      <c r="I37" s="14" t="n"/>
    </row>
    <row r="38">
      <c r="A38" s="13" t="inlineStr">
        <is>
          <t>E3-LP</t>
        </is>
      </c>
      <c r="B38" s="13" t="inlineStr">
        <is>
          <t>Lucro Presumido</t>
        </is>
      </c>
      <c r="C38" s="14" t="inlineStr">
        <is>
          <t>comercio; receita R$ 2.000.000,00/ano; folha CLT R$ 240.000,00; pró-labore R$ 36.000,00; compras R$ 1.200.000,00; desp. creditáveis R$ 80.000,00; outras desp. R$ 150.000,00; ano 2026; ICMS 18%</t>
        </is>
      </c>
      <c r="D38" s="13" t="inlineStr">
        <is>
          <t>PIS</t>
        </is>
      </c>
      <c r="E38" s="15" t="n">
        <v>13000</v>
      </c>
      <c r="F38" s="8" t="n"/>
      <c r="G38" s="15">
        <f>IF(F38="","",E38-F38)</f>
        <v/>
      </c>
      <c r="H38" s="13" t="n"/>
      <c r="I38" s="14" t="n"/>
    </row>
    <row r="39">
      <c r="A39" s="13" t="inlineStr">
        <is>
          <t>E3-LP</t>
        </is>
      </c>
      <c r="B39" s="13" t="inlineStr">
        <is>
          <t>Lucro Presumido</t>
        </is>
      </c>
      <c r="C39" s="14" t="inlineStr">
        <is>
          <t>comercio; receita R$ 2.000.000,00/ano; folha CLT R$ 240.000,00; pró-labore R$ 36.000,00; compras R$ 1.200.000,00; desp. creditáveis R$ 80.000,00; outras desp. R$ 150.000,00; ano 2026; ICMS 18%</t>
        </is>
      </c>
      <c r="D39" s="13" t="inlineStr">
        <is>
          <t>Cofins</t>
        </is>
      </c>
      <c r="E39" s="15" t="n">
        <v>60000</v>
      </c>
      <c r="F39" s="8" t="n"/>
      <c r="G39" s="15">
        <f>IF(F39="","",E39-F39)</f>
        <v/>
      </c>
      <c r="H39" s="13" t="n"/>
      <c r="I39" s="14" t="n"/>
    </row>
    <row r="40">
      <c r="A40" s="13" t="inlineStr">
        <is>
          <t>E3-LP</t>
        </is>
      </c>
      <c r="B40" s="13" t="inlineStr">
        <is>
          <t>Lucro Presumido</t>
        </is>
      </c>
      <c r="C40" s="14" t="inlineStr">
        <is>
          <t>comercio; receita R$ 2.000.000,00/ano; folha CLT R$ 240.000,00; pró-labore R$ 36.000,00; compras R$ 1.200.000,00; desp. creditáveis R$ 80.000,00; outras desp. R$ 150.000,00; ano 2026; ICMS 18%</t>
        </is>
      </c>
      <c r="D40" s="13" t="inlineStr">
        <is>
          <t>ICMS</t>
        </is>
      </c>
      <c r="E40" s="15" t="n">
        <v>144000</v>
      </c>
      <c r="F40" s="8" t="n"/>
      <c r="G40" s="15">
        <f>IF(F40="","",E40-F40)</f>
        <v/>
      </c>
      <c r="H40" s="13" t="n"/>
      <c r="I40" s="14" t="n"/>
    </row>
    <row r="41">
      <c r="A41" s="13" t="inlineStr">
        <is>
          <t>E3-LP</t>
        </is>
      </c>
      <c r="B41" s="13" t="inlineStr">
        <is>
          <t>Lucro Presumido</t>
        </is>
      </c>
      <c r="C41" s="14" t="inlineStr">
        <is>
          <t>comercio; receita R$ 2.000.000,00/ano; folha CLT R$ 240.000,00; pró-labore R$ 36.000,00; compras R$ 1.200.000,00; desp. creditáveis R$ 80.000,00; outras desp. R$ 150.000,00; ano 2026; ICMS 18%</t>
        </is>
      </c>
      <c r="D41" s="13" t="inlineStr">
        <is>
          <t>INSS patronal</t>
        </is>
      </c>
      <c r="E41" s="15" t="n">
        <v>73920</v>
      </c>
      <c r="F41" s="8" t="n"/>
      <c r="G41" s="15">
        <f>IF(F41="","",E41-F41)</f>
        <v/>
      </c>
      <c r="H41" s="13" t="n"/>
      <c r="I41" s="14" t="n"/>
    </row>
    <row r="42">
      <c r="A42" s="16" t="inlineStr">
        <is>
          <t>E3-LP</t>
        </is>
      </c>
      <c r="B42" s="16" t="inlineStr">
        <is>
          <t>Lucro Presumido</t>
        </is>
      </c>
      <c r="C42" s="17" t="inlineStr">
        <is>
          <t>comercio; receita R$ 2.000.000,00/ano; folha CLT R$ 240.000,00; pró-labore R$ 36.000,00; compras R$ 1.200.000,00; desp. creditáveis R$ 80.000,00; outras desp. R$ 150.000,00; ano 2026; ICMS 18%</t>
        </is>
      </c>
      <c r="D42" s="16" t="inlineStr">
        <is>
          <t>TOTAL</t>
        </is>
      </c>
      <c r="E42" s="18">
        <f>SUM(E36:E41)</f>
        <v/>
      </c>
      <c r="F42" s="12" t="n"/>
      <c r="G42" s="18">
        <f>IF(F42="","",E42-F42)</f>
        <v/>
      </c>
      <c r="H42" s="16" t="n"/>
      <c r="I42" s="17" t="n"/>
    </row>
    <row r="43">
      <c r="A43" s="5" t="inlineStr">
        <is>
          <t>E3-LR</t>
        </is>
      </c>
      <c r="B43" s="5" t="inlineStr">
        <is>
          <t>Lucro Real</t>
        </is>
      </c>
      <c r="C43" s="6" t="inlineStr">
        <is>
          <t>comercio; receita R$ 2.000.000,00/ano; folha CLT R$ 240.000,00; pró-labore R$ 36.000,00; compras R$ 1.200.000,00; desp. creditáveis R$ 80.000,00; outras desp. R$ 150.000,00; ano 2026; ICMS 18%</t>
        </is>
      </c>
      <c r="D43" s="5" t="inlineStr">
        <is>
          <t>PIS</t>
        </is>
      </c>
      <c r="E43" s="7" t="n">
        <v>11880</v>
      </c>
      <c r="F43" s="8" t="n"/>
      <c r="G43" s="7">
        <f>IF(F43="","",E43-F43)</f>
        <v/>
      </c>
      <c r="H43" s="5" t="n"/>
      <c r="I43" s="6" t="n"/>
    </row>
    <row r="44">
      <c r="A44" s="5" t="inlineStr">
        <is>
          <t>E3-LR</t>
        </is>
      </c>
      <c r="B44" s="5" t="inlineStr">
        <is>
          <t>Lucro Real</t>
        </is>
      </c>
      <c r="C44" s="6" t="inlineStr">
        <is>
          <t>comercio; receita R$ 2.000.000,00/ano; folha CLT R$ 240.000,00; pró-labore R$ 36.000,00; compras R$ 1.200.000,00; desp. creditáveis R$ 80.000,00; outras desp. R$ 150.000,00; ano 2026; ICMS 18%</t>
        </is>
      </c>
      <c r="D44" s="5" t="inlineStr">
        <is>
          <t>Cofins</t>
        </is>
      </c>
      <c r="E44" s="7" t="n">
        <v>54720</v>
      </c>
      <c r="F44" s="8" t="n"/>
      <c r="G44" s="7">
        <f>IF(F44="","",E44-F44)</f>
        <v/>
      </c>
      <c r="H44" s="5" t="n"/>
      <c r="I44" s="6" t="n"/>
    </row>
    <row r="45">
      <c r="A45" s="5" t="inlineStr">
        <is>
          <t>E3-LR</t>
        </is>
      </c>
      <c r="B45" s="5" t="inlineStr">
        <is>
          <t>Lucro Real</t>
        </is>
      </c>
      <c r="C45" s="6" t="inlineStr">
        <is>
          <t>comercio; receita R$ 2.000.000,00/ano; folha CLT R$ 240.000,00; pró-labore R$ 36.000,00; compras R$ 1.200.000,00; desp. creditáveis R$ 80.000,00; outras desp. R$ 150.000,00; ano 2026; ICMS 18%</t>
        </is>
      </c>
      <c r="D45" s="5" t="inlineStr">
        <is>
          <t>ICMS</t>
        </is>
      </c>
      <c r="E45" s="7" t="n">
        <v>144000</v>
      </c>
      <c r="F45" s="8" t="n"/>
      <c r="G45" s="7">
        <f>IF(F45="","",E45-F45)</f>
        <v/>
      </c>
      <c r="H45" s="5" t="n"/>
      <c r="I45" s="6" t="n"/>
    </row>
    <row r="46">
      <c r="A46" s="5" t="inlineStr">
        <is>
          <t>E3-LR</t>
        </is>
      </c>
      <c r="B46" s="5" t="inlineStr">
        <is>
          <t>Lucro Real</t>
        </is>
      </c>
      <c r="C46" s="6" t="inlineStr">
        <is>
          <t>comercio; receita R$ 2.000.000,00/ano; folha CLT R$ 240.000,00; pró-labore R$ 36.000,00; compras R$ 1.200.000,00; desp. creditáveis R$ 80.000,00; outras desp. R$ 150.000,00; ano 2026; ICMS 18%</t>
        </is>
      </c>
      <c r="D46" s="5" t="inlineStr">
        <is>
          <t>INSS patronal</t>
        </is>
      </c>
      <c r="E46" s="7" t="n">
        <v>73920</v>
      </c>
      <c r="F46" s="8" t="n"/>
      <c r="G46" s="7">
        <f>IF(F46="","",E46-F46)</f>
        <v/>
      </c>
      <c r="H46" s="5" t="n"/>
      <c r="I46" s="6" t="n"/>
    </row>
    <row r="47">
      <c r="A47" s="5" t="inlineStr">
        <is>
          <t>E3-LR</t>
        </is>
      </c>
      <c r="B47" s="5" t="inlineStr">
        <is>
          <t>Lucro Real</t>
        </is>
      </c>
      <c r="C47" s="6" t="inlineStr">
        <is>
          <t>comercio; receita R$ 2.000.000,00/ano; folha CLT R$ 240.000,00; pró-labore R$ 36.000,00; compras R$ 1.200.000,00; desp. creditáveis R$ 80.000,00; outras desp. R$ 150.000,00; ano 2026; ICMS 18%</t>
        </is>
      </c>
      <c r="D47" s="5" t="inlineStr">
        <is>
          <t>IRPJ</t>
        </is>
      </c>
      <c r="E47" s="7" t="n">
        <v>0</v>
      </c>
      <c r="F47" s="8" t="n"/>
      <c r="G47" s="7">
        <f>IF(F47="","",E47-F47)</f>
        <v/>
      </c>
      <c r="H47" s="5" t="n"/>
      <c r="I47" s="6" t="n"/>
    </row>
    <row r="48">
      <c r="A48" s="5" t="inlineStr">
        <is>
          <t>E3-LR</t>
        </is>
      </c>
      <c r="B48" s="5" t="inlineStr">
        <is>
          <t>Lucro Real</t>
        </is>
      </c>
      <c r="C48" s="6" t="inlineStr">
        <is>
          <t>comercio; receita R$ 2.000.000,00/ano; folha CLT R$ 240.000,00; pró-labore R$ 36.000,00; compras R$ 1.200.000,00; desp. creditáveis R$ 80.000,00; outras desp. R$ 150.000,00; ano 2026; ICMS 18%</t>
        </is>
      </c>
      <c r="D48" s="5" t="inlineStr">
        <is>
          <t>CSLL</t>
        </is>
      </c>
      <c r="E48" s="7" t="n">
        <v>0</v>
      </c>
      <c r="F48" s="8" t="n"/>
      <c r="G48" s="7">
        <f>IF(F48="","",E48-F48)</f>
        <v/>
      </c>
      <c r="H48" s="5" t="n"/>
      <c r="I48" s="6" t="n"/>
    </row>
    <row r="49">
      <c r="A49" s="9" t="inlineStr">
        <is>
          <t>E3-LR</t>
        </is>
      </c>
      <c r="B49" s="9" t="inlineStr">
        <is>
          <t>Lucro Real</t>
        </is>
      </c>
      <c r="C49" s="10" t="inlineStr">
        <is>
          <t>comercio; receita R$ 2.000.000,00/ano; folha CLT R$ 240.000,00; pró-labore R$ 36.000,00; compras R$ 1.200.000,00; desp. creditáveis R$ 80.000,00; outras desp. R$ 150.000,00; ano 2026; ICMS 18%</t>
        </is>
      </c>
      <c r="D49" s="9" t="inlineStr">
        <is>
          <t>TOTAL</t>
        </is>
      </c>
      <c r="E49" s="11">
        <f>SUM(E43:E48)</f>
        <v/>
      </c>
      <c r="F49" s="12" t="n"/>
      <c r="G49" s="11">
        <f>IF(F49="","",E49-F49)</f>
        <v/>
      </c>
      <c r="H49" s="9" t="n"/>
      <c r="I49" s="10" t="n"/>
    </row>
    <row r="50">
      <c r="A50" s="13" t="inlineStr">
        <is>
          <t>E4-SN</t>
        </is>
      </c>
      <c r="B50" s="13" t="inlineStr">
        <is>
          <t>Simples Nacional</t>
        </is>
      </c>
      <c r="C50" s="14" t="inlineStr">
        <is>
          <t>industria; receita R$ 3.000.000,00/ano; folha CLT R$ 600.000,00; pró-labore R$ 60.000,00; compras R$ 1.500.000,00; desp. creditáveis R$ 200.000,00; outras desp. R$ 100.000,00; ano 2026; ICMS 18%</t>
        </is>
      </c>
      <c r="D50" s="13" t="inlineStr">
        <is>
          <t>DAS</t>
        </is>
      </c>
      <c r="E50" s="15" t="n">
        <v>355500</v>
      </c>
      <c r="F50" s="8" t="n"/>
      <c r="G50" s="15">
        <f>IF(F50="","",E50-F50)</f>
        <v/>
      </c>
      <c r="H50" s="13" t="n"/>
      <c r="I50" s="14" t="n"/>
    </row>
    <row r="51">
      <c r="A51" s="16" t="inlineStr">
        <is>
          <t>E4-SN</t>
        </is>
      </c>
      <c r="B51" s="16" t="inlineStr">
        <is>
          <t>Simples Nacional</t>
        </is>
      </c>
      <c r="C51" s="17" t="inlineStr">
        <is>
          <t>industria; receita R$ 3.000.000,00/ano; folha CLT R$ 600.000,00; pró-labore R$ 60.000,00; compras R$ 1.500.000,00; desp. creditáveis R$ 200.000,00; outras desp. R$ 100.000,00; ano 2026; ICMS 18%</t>
        </is>
      </c>
      <c r="D51" s="16" t="inlineStr">
        <is>
          <t>TOTAL</t>
        </is>
      </c>
      <c r="E51" s="18">
        <f>SUM(E50:E50)</f>
        <v/>
      </c>
      <c r="F51" s="12" t="n"/>
      <c r="G51" s="18">
        <f>IF(F51="","",E51-F51)</f>
        <v/>
      </c>
      <c r="H51" s="16" t="n"/>
      <c r="I51" s="17" t="n"/>
    </row>
    <row r="52">
      <c r="A52" s="5" t="inlineStr">
        <is>
          <t>E4-LP</t>
        </is>
      </c>
      <c r="B52" s="5" t="inlineStr">
        <is>
          <t>Lucro Presumido</t>
        </is>
      </c>
      <c r="C52" s="6" t="inlineStr">
        <is>
          <t>industria; receita R$ 3.000.000,00/ano; folha CLT R$ 600.000,00; pró-labore R$ 60.000,00; compras R$ 1.500.000,00; desp. creditáveis R$ 200.000,00; outras desp. R$ 100.000,00; ano 2026; ICMS 18%</t>
        </is>
      </c>
      <c r="D52" s="5" t="inlineStr">
        <is>
          <t>IRPJ</t>
        </is>
      </c>
      <c r="E52" s="7" t="n">
        <v>36000</v>
      </c>
      <c r="F52" s="8" t="n"/>
      <c r="G52" s="7">
        <f>IF(F52="","",E52-F52)</f>
        <v/>
      </c>
      <c r="H52" s="5" t="n"/>
      <c r="I52" s="6" t="n"/>
    </row>
    <row r="53">
      <c r="A53" s="5" t="inlineStr">
        <is>
          <t>E4-LP</t>
        </is>
      </c>
      <c r="B53" s="5" t="inlineStr">
        <is>
          <t>Lucro Presumido</t>
        </is>
      </c>
      <c r="C53" s="6" t="inlineStr">
        <is>
          <t>industria; receita R$ 3.000.000,00/ano; folha CLT R$ 600.000,00; pró-labore R$ 60.000,00; compras R$ 1.500.000,00; desp. creditáveis R$ 200.000,00; outras desp. R$ 100.000,00; ano 2026; ICMS 18%</t>
        </is>
      </c>
      <c r="D53" s="5" t="inlineStr">
        <is>
          <t>CSLL</t>
        </is>
      </c>
      <c r="E53" s="7" t="n">
        <v>32400</v>
      </c>
      <c r="F53" s="8" t="n"/>
      <c r="G53" s="7">
        <f>IF(F53="","",E53-F53)</f>
        <v/>
      </c>
      <c r="H53" s="5" t="n"/>
      <c r="I53" s="6" t="n"/>
    </row>
    <row r="54">
      <c r="A54" s="5" t="inlineStr">
        <is>
          <t>E4-LP</t>
        </is>
      </c>
      <c r="B54" s="5" t="inlineStr">
        <is>
          <t>Lucro Presumido</t>
        </is>
      </c>
      <c r="C54" s="6" t="inlineStr">
        <is>
          <t>industria; receita R$ 3.000.000,00/ano; folha CLT R$ 600.000,00; pró-labore R$ 60.000,00; compras R$ 1.500.000,00; desp. creditáveis R$ 200.000,00; outras desp. R$ 100.000,00; ano 2026; ICMS 18%</t>
        </is>
      </c>
      <c r="D54" s="5" t="inlineStr">
        <is>
          <t>PIS</t>
        </is>
      </c>
      <c r="E54" s="7" t="n">
        <v>19500</v>
      </c>
      <c r="F54" s="8" t="n"/>
      <c r="G54" s="7">
        <f>IF(F54="","",E54-F54)</f>
        <v/>
      </c>
      <c r="H54" s="5" t="n"/>
      <c r="I54" s="6" t="n"/>
    </row>
    <row r="55">
      <c r="A55" s="5" t="inlineStr">
        <is>
          <t>E4-LP</t>
        </is>
      </c>
      <c r="B55" s="5" t="inlineStr">
        <is>
          <t>Lucro Presumido</t>
        </is>
      </c>
      <c r="C55" s="6" t="inlineStr">
        <is>
          <t>industria; receita R$ 3.000.000,00/ano; folha CLT R$ 600.000,00; pró-labore R$ 60.000,00; compras R$ 1.500.000,00; desp. creditáveis R$ 200.000,00; outras desp. R$ 100.000,00; ano 2026; ICMS 18%</t>
        </is>
      </c>
      <c r="D55" s="5" t="inlineStr">
        <is>
          <t>Cofins</t>
        </is>
      </c>
      <c r="E55" s="7" t="n">
        <v>90000</v>
      </c>
      <c r="F55" s="8" t="n"/>
      <c r="G55" s="7">
        <f>IF(F55="","",E55-F55)</f>
        <v/>
      </c>
      <c r="H55" s="5" t="n"/>
      <c r="I55" s="6" t="n"/>
    </row>
    <row r="56">
      <c r="A56" s="5" t="inlineStr">
        <is>
          <t>E4-LP</t>
        </is>
      </c>
      <c r="B56" s="5" t="inlineStr">
        <is>
          <t>Lucro Presumido</t>
        </is>
      </c>
      <c r="C56" s="6" t="inlineStr">
        <is>
          <t>industria; receita R$ 3.000.000,00/ano; folha CLT R$ 600.000,00; pró-labore R$ 60.000,00; compras R$ 1.500.000,00; desp. creditáveis R$ 200.000,00; outras desp. R$ 100.000,00; ano 2026; ICMS 18%</t>
        </is>
      </c>
      <c r="D56" s="5" t="inlineStr">
        <is>
          <t>ICMS</t>
        </is>
      </c>
      <c r="E56" s="7" t="n">
        <v>270000</v>
      </c>
      <c r="F56" s="8" t="n"/>
      <c r="G56" s="7">
        <f>IF(F56="","",E56-F56)</f>
        <v/>
      </c>
      <c r="H56" s="5" t="n"/>
      <c r="I56" s="6" t="n"/>
    </row>
    <row r="57">
      <c r="A57" s="5" t="inlineStr">
        <is>
          <t>E4-LP</t>
        </is>
      </c>
      <c r="B57" s="5" t="inlineStr">
        <is>
          <t>Lucro Presumido</t>
        </is>
      </c>
      <c r="C57" s="6" t="inlineStr">
        <is>
          <t>industria; receita R$ 3.000.000,00/ano; folha CLT R$ 600.000,00; pró-labore R$ 60.000,00; compras R$ 1.500.000,00; desp. creditáveis R$ 200.000,00; outras desp. R$ 100.000,00; ano 2026; ICMS 18%</t>
        </is>
      </c>
      <c r="D57" s="5" t="inlineStr">
        <is>
          <t>INSS patronal</t>
        </is>
      </c>
      <c r="E57" s="7" t="n">
        <v>178800</v>
      </c>
      <c r="F57" s="8" t="n"/>
      <c r="G57" s="7">
        <f>IF(F57="","",E57-F57)</f>
        <v/>
      </c>
      <c r="H57" s="5" t="n"/>
      <c r="I57" s="6" t="n"/>
    </row>
    <row r="58">
      <c r="A58" s="9" t="inlineStr">
        <is>
          <t>E4-LP</t>
        </is>
      </c>
      <c r="B58" s="9" t="inlineStr">
        <is>
          <t>Lucro Presumido</t>
        </is>
      </c>
      <c r="C58" s="10" t="inlineStr">
        <is>
          <t>industria; receita R$ 3.000.000,00/ano; folha CLT R$ 600.000,00; pró-labore R$ 60.000,00; compras R$ 1.500.000,00; desp. creditáveis R$ 200.000,00; outras desp. R$ 100.000,00; ano 2026; ICMS 18%</t>
        </is>
      </c>
      <c r="D58" s="9" t="inlineStr">
        <is>
          <t>TOTAL</t>
        </is>
      </c>
      <c r="E58" s="11">
        <f>SUM(E52:E57)</f>
        <v/>
      </c>
      <c r="F58" s="12" t="n"/>
      <c r="G58" s="11">
        <f>IF(F58="","",E58-F58)</f>
        <v/>
      </c>
      <c r="H58" s="9" t="n"/>
      <c r="I58" s="10" t="n"/>
    </row>
    <row r="59">
      <c r="A59" s="13" t="inlineStr">
        <is>
          <t>E4-LR</t>
        </is>
      </c>
      <c r="B59" s="13" t="inlineStr">
        <is>
          <t>Lucro Real</t>
        </is>
      </c>
      <c r="C59" s="14" t="inlineStr">
        <is>
          <t>industria; receita R$ 3.000.000,00/ano; folha CLT R$ 600.000,00; pró-labore R$ 60.000,00; compras R$ 1.500.000,00; desp. creditáveis R$ 200.000,00; outras desp. R$ 100.000,00; ano 2026; ICMS 18%</t>
        </is>
      </c>
      <c r="D59" s="13" t="inlineStr">
        <is>
          <t>PIS</t>
        </is>
      </c>
      <c r="E59" s="15" t="n">
        <v>21450</v>
      </c>
      <c r="F59" s="8" t="n"/>
      <c r="G59" s="15">
        <f>IF(F59="","",E59-F59)</f>
        <v/>
      </c>
      <c r="H59" s="13" t="n"/>
      <c r="I59" s="14" t="n"/>
    </row>
    <row r="60">
      <c r="A60" s="13" t="inlineStr">
        <is>
          <t>E4-LR</t>
        </is>
      </c>
      <c r="B60" s="13" t="inlineStr">
        <is>
          <t>Lucro Real</t>
        </is>
      </c>
      <c r="C60" s="14" t="inlineStr">
        <is>
          <t>industria; receita R$ 3.000.000,00/ano; folha CLT R$ 600.000,00; pró-labore R$ 60.000,00; compras R$ 1.500.000,00; desp. creditáveis R$ 200.000,00; outras desp. R$ 100.000,00; ano 2026; ICMS 18%</t>
        </is>
      </c>
      <c r="D60" s="13" t="inlineStr">
        <is>
          <t>Cofins</t>
        </is>
      </c>
      <c r="E60" s="15" t="n">
        <v>98800</v>
      </c>
      <c r="F60" s="8" t="n"/>
      <c r="G60" s="15">
        <f>IF(F60="","",E60-F60)</f>
        <v/>
      </c>
      <c r="H60" s="13" t="n"/>
      <c r="I60" s="14" t="n"/>
    </row>
    <row r="61">
      <c r="A61" s="13" t="inlineStr">
        <is>
          <t>E4-LR</t>
        </is>
      </c>
      <c r="B61" s="13" t="inlineStr">
        <is>
          <t>Lucro Real</t>
        </is>
      </c>
      <c r="C61" s="14" t="inlineStr">
        <is>
          <t>industria; receita R$ 3.000.000,00/ano; folha CLT R$ 600.000,00; pró-labore R$ 60.000,00; compras R$ 1.500.000,00; desp. creditáveis R$ 200.000,00; outras desp. R$ 100.000,00; ano 2026; ICMS 18%</t>
        </is>
      </c>
      <c r="D61" s="13" t="inlineStr">
        <is>
          <t>ICMS</t>
        </is>
      </c>
      <c r="E61" s="15" t="n">
        <v>270000</v>
      </c>
      <c r="F61" s="8" t="n"/>
      <c r="G61" s="15">
        <f>IF(F61="","",E61-F61)</f>
        <v/>
      </c>
      <c r="H61" s="13" t="n"/>
      <c r="I61" s="14" t="n"/>
    </row>
    <row r="62">
      <c r="A62" s="13" t="inlineStr">
        <is>
          <t>E4-LR</t>
        </is>
      </c>
      <c r="B62" s="13" t="inlineStr">
        <is>
          <t>Lucro Real</t>
        </is>
      </c>
      <c r="C62" s="14" t="inlineStr">
        <is>
          <t>industria; receita R$ 3.000.000,00/ano; folha CLT R$ 600.000,00; pró-labore R$ 60.000,00; compras R$ 1.500.000,00; desp. creditáveis R$ 200.000,00; outras desp. R$ 100.000,00; ano 2026; ICMS 18%</t>
        </is>
      </c>
      <c r="D62" s="13" t="inlineStr">
        <is>
          <t>INSS patronal</t>
        </is>
      </c>
      <c r="E62" s="15" t="n">
        <v>178800</v>
      </c>
      <c r="F62" s="8" t="n"/>
      <c r="G62" s="15">
        <f>IF(F62="","",E62-F62)</f>
        <v/>
      </c>
      <c r="H62" s="13" t="n"/>
      <c r="I62" s="14" t="n"/>
    </row>
    <row r="63">
      <c r="A63" s="13" t="inlineStr">
        <is>
          <t>E4-LR</t>
        </is>
      </c>
      <c r="B63" s="13" t="inlineStr">
        <is>
          <t>Lucro Real</t>
        </is>
      </c>
      <c r="C63" s="14" t="inlineStr">
        <is>
          <t>industria; receita R$ 3.000.000,00/ano; folha CLT R$ 600.000,00; pró-labore R$ 60.000,00; compras R$ 1.500.000,00; desp. creditáveis R$ 200.000,00; outras desp. R$ 100.000,00; ano 2026; ICMS 18%</t>
        </is>
      </c>
      <c r="D63" s="13" t="inlineStr">
        <is>
          <t>IRPJ</t>
        </is>
      </c>
      <c r="E63" s="15" t="n">
        <v>0</v>
      </c>
      <c r="F63" s="8" t="n"/>
      <c r="G63" s="15">
        <f>IF(F63="","",E63-F63)</f>
        <v/>
      </c>
      <c r="H63" s="13" t="n"/>
      <c r="I63" s="14" t="n"/>
    </row>
    <row r="64">
      <c r="A64" s="13" t="inlineStr">
        <is>
          <t>E4-LR</t>
        </is>
      </c>
      <c r="B64" s="13" t="inlineStr">
        <is>
          <t>Lucro Real</t>
        </is>
      </c>
      <c r="C64" s="14" t="inlineStr">
        <is>
          <t>industria; receita R$ 3.000.000,00/ano; folha CLT R$ 600.000,00; pró-labore R$ 60.000,00; compras R$ 1.500.000,00; desp. creditáveis R$ 200.000,00; outras desp. R$ 100.000,00; ano 2026; ICMS 18%</t>
        </is>
      </c>
      <c r="D64" s="13" t="inlineStr">
        <is>
          <t>CSLL</t>
        </is>
      </c>
      <c r="E64" s="15" t="n">
        <v>0</v>
      </c>
      <c r="F64" s="8" t="n"/>
      <c r="G64" s="15">
        <f>IF(F64="","",E64-F64)</f>
        <v/>
      </c>
      <c r="H64" s="13" t="n"/>
      <c r="I64" s="14" t="n"/>
    </row>
    <row r="65">
      <c r="A65" s="16" t="inlineStr">
        <is>
          <t>E4-LR</t>
        </is>
      </c>
      <c r="B65" s="16" t="inlineStr">
        <is>
          <t>Lucro Real</t>
        </is>
      </c>
      <c r="C65" s="17" t="inlineStr">
        <is>
          <t>industria; receita R$ 3.000.000,00/ano; folha CLT R$ 600.000,00; pró-labore R$ 60.000,00; compras R$ 1.500.000,00; desp. creditáveis R$ 200.000,00; outras desp. R$ 100.000,00; ano 2026; ICMS 18%</t>
        </is>
      </c>
      <c r="D65" s="16" t="inlineStr">
        <is>
          <t>TOTAL</t>
        </is>
      </c>
      <c r="E65" s="18">
        <f>SUM(E59:E64)</f>
        <v/>
      </c>
      <c r="F65" s="12" t="n"/>
      <c r="G65" s="18">
        <f>IF(F65="","",E65-F65)</f>
        <v/>
      </c>
      <c r="H65" s="16" t="n"/>
      <c r="I65" s="17" t="n"/>
    </row>
    <row r="66">
      <c r="A66" s="5" t="inlineStr">
        <is>
          <t>E5-SN</t>
        </is>
      </c>
      <c r="B66" s="5" t="inlineStr">
        <is>
          <t>Simples Nacional</t>
        </is>
      </c>
      <c r="C66" s="6" t="inlineStr">
        <is>
          <t>servico_anexo_iv; receita R$ 900.000,00/ano; folha CLT R$ 300.000,00; pró-labore R$ 36.000,00; outras desp. R$ 200.000,00; ano 2026; ISS 3%</t>
        </is>
      </c>
      <c r="D66" s="5" t="inlineStr">
        <is>
          <t>DAS</t>
        </is>
      </c>
      <c r="E66" s="7" t="n">
        <v>86220</v>
      </c>
      <c r="F66" s="8" t="n"/>
      <c r="G66" s="7">
        <f>IF(F66="","",E66-F66)</f>
        <v/>
      </c>
      <c r="H66" s="5" t="n"/>
      <c r="I66" s="6" t="n"/>
    </row>
    <row r="67">
      <c r="A67" s="5" t="inlineStr">
        <is>
          <t>E5-SN</t>
        </is>
      </c>
      <c r="B67" s="5" t="inlineStr">
        <is>
          <t>Simples Nacional</t>
        </is>
      </c>
      <c r="C67" s="6" t="inlineStr">
        <is>
          <t>servico_anexo_iv; receita R$ 900.000,00/ano; folha CLT R$ 300.000,00; pró-labore R$ 36.000,00; outras desp. R$ 200.000,00; ano 2026; ISS 3%</t>
        </is>
      </c>
      <c r="D67" s="5" t="inlineStr">
        <is>
          <t>INSS patronal (fora do DAS)</t>
        </is>
      </c>
      <c r="E67" s="7" t="n">
        <v>73200</v>
      </c>
      <c r="F67" s="8" t="n"/>
      <c r="G67" s="7">
        <f>IF(F67="","",E67-F67)</f>
        <v/>
      </c>
      <c r="H67" s="5" t="n"/>
      <c r="I67" s="6" t="n"/>
    </row>
    <row r="68">
      <c r="A68" s="9" t="inlineStr">
        <is>
          <t>E5-SN</t>
        </is>
      </c>
      <c r="B68" s="9" t="inlineStr">
        <is>
          <t>Simples Nacional</t>
        </is>
      </c>
      <c r="C68" s="10" t="inlineStr">
        <is>
          <t>servico_anexo_iv; receita R$ 900.000,00/ano; folha CLT R$ 300.000,00; pró-labore R$ 36.000,00; outras desp. R$ 200.000,00; ano 2026; ISS 3%</t>
        </is>
      </c>
      <c r="D68" s="9" t="inlineStr">
        <is>
          <t>TOTAL</t>
        </is>
      </c>
      <c r="E68" s="11">
        <f>SUM(E66:E67)</f>
        <v/>
      </c>
      <c r="F68" s="12" t="n"/>
      <c r="G68" s="11">
        <f>IF(F68="","",E68-F68)</f>
        <v/>
      </c>
      <c r="H68" s="9" t="n"/>
      <c r="I68" s="10" t="n"/>
    </row>
    <row r="69">
      <c r="A69" s="13" t="inlineStr">
        <is>
          <t>E5-LP</t>
        </is>
      </c>
      <c r="B69" s="13" t="inlineStr">
        <is>
          <t>Lucro Presumido</t>
        </is>
      </c>
      <c r="C69" s="14" t="inlineStr">
        <is>
          <t>servico_anexo_iv; receita R$ 900.000,00/ano; folha CLT R$ 300.000,00; pró-labore R$ 36.000,00; outras desp. R$ 200.000,00; ano 2026; ISS 3%</t>
        </is>
      </c>
      <c r="D69" s="13" t="inlineStr">
        <is>
          <t>IRPJ</t>
        </is>
      </c>
      <c r="E69" s="15" t="n">
        <v>48000</v>
      </c>
      <c r="F69" s="8" t="n"/>
      <c r="G69" s="15">
        <f>IF(F69="","",E69-F69)</f>
        <v/>
      </c>
      <c r="H69" s="13" t="n"/>
      <c r="I69" s="14" t="n"/>
    </row>
    <row r="70">
      <c r="A70" s="13" t="inlineStr">
        <is>
          <t>E5-LP</t>
        </is>
      </c>
      <c r="B70" s="13" t="inlineStr">
        <is>
          <t>Lucro Presumido</t>
        </is>
      </c>
      <c r="C70" s="14" t="inlineStr">
        <is>
          <t>servico_anexo_iv; receita R$ 900.000,00/ano; folha CLT R$ 300.000,00; pró-labore R$ 36.000,00; outras desp. R$ 200.000,00; ano 2026; ISS 3%</t>
        </is>
      </c>
      <c r="D70" s="13" t="inlineStr">
        <is>
          <t>CSLL</t>
        </is>
      </c>
      <c r="E70" s="15" t="n">
        <v>25920</v>
      </c>
      <c r="F70" s="8" t="n"/>
      <c r="G70" s="15">
        <f>IF(F70="","",E70-F70)</f>
        <v/>
      </c>
      <c r="H70" s="13" t="n"/>
      <c r="I70" s="14" t="n"/>
    </row>
    <row r="71">
      <c r="A71" s="13" t="inlineStr">
        <is>
          <t>E5-LP</t>
        </is>
      </c>
      <c r="B71" s="13" t="inlineStr">
        <is>
          <t>Lucro Presumido</t>
        </is>
      </c>
      <c r="C71" s="14" t="inlineStr">
        <is>
          <t>servico_anexo_iv; receita R$ 900.000,00/ano; folha CLT R$ 300.000,00; pró-labore R$ 36.000,00; outras desp. R$ 200.000,00; ano 2026; ISS 3%</t>
        </is>
      </c>
      <c r="D71" s="13" t="inlineStr">
        <is>
          <t>PIS</t>
        </is>
      </c>
      <c r="E71" s="15" t="n">
        <v>5850</v>
      </c>
      <c r="F71" s="8" t="n"/>
      <c r="G71" s="15">
        <f>IF(F71="","",E71-F71)</f>
        <v/>
      </c>
      <c r="H71" s="13" t="n"/>
      <c r="I71" s="14" t="n"/>
    </row>
    <row r="72">
      <c r="A72" s="13" t="inlineStr">
        <is>
          <t>E5-LP</t>
        </is>
      </c>
      <c r="B72" s="13" t="inlineStr">
        <is>
          <t>Lucro Presumido</t>
        </is>
      </c>
      <c r="C72" s="14" t="inlineStr">
        <is>
          <t>servico_anexo_iv; receita R$ 900.000,00/ano; folha CLT R$ 300.000,00; pró-labore R$ 36.000,00; outras desp. R$ 200.000,00; ano 2026; ISS 3%</t>
        </is>
      </c>
      <c r="D72" s="13" t="inlineStr">
        <is>
          <t>Cofins</t>
        </is>
      </c>
      <c r="E72" s="15" t="n">
        <v>27000</v>
      </c>
      <c r="F72" s="8" t="n"/>
      <c r="G72" s="15">
        <f>IF(F72="","",E72-F72)</f>
        <v/>
      </c>
      <c r="H72" s="13" t="n"/>
      <c r="I72" s="14" t="n"/>
    </row>
    <row r="73">
      <c r="A73" s="13" t="inlineStr">
        <is>
          <t>E5-LP</t>
        </is>
      </c>
      <c r="B73" s="13" t="inlineStr">
        <is>
          <t>Lucro Presumido</t>
        </is>
      </c>
      <c r="C73" s="14" t="inlineStr">
        <is>
          <t>servico_anexo_iv; receita R$ 900.000,00/ano; folha CLT R$ 300.000,00; pró-labore R$ 36.000,00; outras desp. R$ 200.000,00; ano 2026; ISS 3%</t>
        </is>
      </c>
      <c r="D73" s="13" t="inlineStr">
        <is>
          <t>ISS</t>
        </is>
      </c>
      <c r="E73" s="15" t="n">
        <v>27000</v>
      </c>
      <c r="F73" s="8" t="n"/>
      <c r="G73" s="15">
        <f>IF(F73="","",E73-F73)</f>
        <v/>
      </c>
      <c r="H73" s="13" t="n"/>
      <c r="I73" s="14" t="n"/>
    </row>
    <row r="74">
      <c r="A74" s="13" t="inlineStr">
        <is>
          <t>E5-LP</t>
        </is>
      </c>
      <c r="B74" s="13" t="inlineStr">
        <is>
          <t>Lucro Presumido</t>
        </is>
      </c>
      <c r="C74" s="14" t="inlineStr">
        <is>
          <t>servico_anexo_iv; receita R$ 900.000,00/ano; folha CLT R$ 300.000,00; pró-labore R$ 36.000,00; outras desp. R$ 200.000,00; ano 2026; ISS 3%</t>
        </is>
      </c>
      <c r="D74" s="13" t="inlineStr">
        <is>
          <t>INSS patronal</t>
        </is>
      </c>
      <c r="E74" s="15" t="n">
        <v>90600</v>
      </c>
      <c r="F74" s="8" t="n"/>
      <c r="G74" s="15">
        <f>IF(F74="","",E74-F74)</f>
        <v/>
      </c>
      <c r="H74" s="13" t="n"/>
      <c r="I74" s="14" t="n"/>
    </row>
    <row r="75">
      <c r="A75" s="16" t="inlineStr">
        <is>
          <t>E5-LP</t>
        </is>
      </c>
      <c r="B75" s="16" t="inlineStr">
        <is>
          <t>Lucro Presumido</t>
        </is>
      </c>
      <c r="C75" s="17" t="inlineStr">
        <is>
          <t>servico_anexo_iv; receita R$ 900.000,00/ano; folha CLT R$ 300.000,00; pró-labore R$ 36.000,00; outras desp. R$ 200.000,00; ano 2026; ISS 3%</t>
        </is>
      </c>
      <c r="D75" s="16" t="inlineStr">
        <is>
          <t>TOTAL</t>
        </is>
      </c>
      <c r="E75" s="18">
        <f>SUM(E69:E74)</f>
        <v/>
      </c>
      <c r="F75" s="12" t="n"/>
      <c r="G75" s="18">
        <f>IF(F75="","",E75-F75)</f>
        <v/>
      </c>
      <c r="H75" s="16" t="n"/>
      <c r="I75" s="17" t="n"/>
    </row>
    <row r="76">
      <c r="A76" s="5" t="inlineStr">
        <is>
          <t>E5-LR</t>
        </is>
      </c>
      <c r="B76" s="5" t="inlineStr">
        <is>
          <t>Lucro Real</t>
        </is>
      </c>
      <c r="C76" s="6" t="inlineStr">
        <is>
          <t>servico_anexo_iv; receita R$ 900.000,00/ano; folha CLT R$ 300.000,00; pró-labore R$ 36.000,00; outras desp. R$ 200.000,00; ano 2026; ISS 3%</t>
        </is>
      </c>
      <c r="D76" s="5" t="inlineStr">
        <is>
          <t>PIS</t>
        </is>
      </c>
      <c r="E76" s="7" t="n">
        <v>14850</v>
      </c>
      <c r="F76" s="8" t="n"/>
      <c r="G76" s="7">
        <f>IF(F76="","",E76-F76)</f>
        <v/>
      </c>
      <c r="H76" s="5" t="n"/>
      <c r="I76" s="6" t="n"/>
    </row>
    <row r="77">
      <c r="A77" s="5" t="inlineStr">
        <is>
          <t>E5-LR</t>
        </is>
      </c>
      <c r="B77" s="5" t="inlineStr">
        <is>
          <t>Lucro Real</t>
        </is>
      </c>
      <c r="C77" s="6" t="inlineStr">
        <is>
          <t>servico_anexo_iv; receita R$ 900.000,00/ano; folha CLT R$ 300.000,00; pró-labore R$ 36.000,00; outras desp. R$ 200.000,00; ano 2026; ISS 3%</t>
        </is>
      </c>
      <c r="D77" s="5" t="inlineStr">
        <is>
          <t>Cofins</t>
        </is>
      </c>
      <c r="E77" s="7" t="n">
        <v>68400</v>
      </c>
      <c r="F77" s="8" t="n"/>
      <c r="G77" s="7">
        <f>IF(F77="","",E77-F77)</f>
        <v/>
      </c>
      <c r="H77" s="5" t="n"/>
      <c r="I77" s="6" t="n"/>
    </row>
    <row r="78">
      <c r="A78" s="5" t="inlineStr">
        <is>
          <t>E5-LR</t>
        </is>
      </c>
      <c r="B78" s="5" t="inlineStr">
        <is>
          <t>Lucro Real</t>
        </is>
      </c>
      <c r="C78" s="6" t="inlineStr">
        <is>
          <t>servico_anexo_iv; receita R$ 900.000,00/ano; folha CLT R$ 300.000,00; pró-labore R$ 36.000,00; outras desp. R$ 200.000,00; ano 2026; ISS 3%</t>
        </is>
      </c>
      <c r="D78" s="5" t="inlineStr">
        <is>
          <t>ISS</t>
        </is>
      </c>
      <c r="E78" s="7" t="n">
        <v>27000</v>
      </c>
      <c r="F78" s="8" t="n"/>
      <c r="G78" s="7">
        <f>IF(F78="","",E78-F78)</f>
        <v/>
      </c>
      <c r="H78" s="5" t="n"/>
      <c r="I78" s="6" t="n"/>
    </row>
    <row r="79">
      <c r="A79" s="5" t="inlineStr">
        <is>
          <t>E5-LR</t>
        </is>
      </c>
      <c r="B79" s="5" t="inlineStr">
        <is>
          <t>Lucro Real</t>
        </is>
      </c>
      <c r="C79" s="6" t="inlineStr">
        <is>
          <t>servico_anexo_iv; receita R$ 900.000,00/ano; folha CLT R$ 300.000,00; pró-labore R$ 36.000,00; outras desp. R$ 200.000,00; ano 2026; ISS 3%</t>
        </is>
      </c>
      <c r="D79" s="5" t="inlineStr">
        <is>
          <t>INSS patronal</t>
        </is>
      </c>
      <c r="E79" s="7" t="n">
        <v>90600</v>
      </c>
      <c r="F79" s="8" t="n"/>
      <c r="G79" s="7">
        <f>IF(F79="","",E79-F79)</f>
        <v/>
      </c>
      <c r="H79" s="5" t="n"/>
      <c r="I79" s="6" t="n"/>
    </row>
    <row r="80">
      <c r="A80" s="5" t="inlineStr">
        <is>
          <t>E5-LR</t>
        </is>
      </c>
      <c r="B80" s="5" t="inlineStr">
        <is>
          <t>Lucro Real</t>
        </is>
      </c>
      <c r="C80" s="6" t="inlineStr">
        <is>
          <t>servico_anexo_iv; receita R$ 900.000,00/ano; folha CLT R$ 300.000,00; pró-labore R$ 36.000,00; outras desp. R$ 200.000,00; ano 2026; ISS 3%</t>
        </is>
      </c>
      <c r="D80" s="5" t="inlineStr">
        <is>
          <t>IRPJ</t>
        </is>
      </c>
      <c r="E80" s="7" t="n">
        <v>20872.5</v>
      </c>
      <c r="F80" s="8" t="n"/>
      <c r="G80" s="7">
        <f>IF(F80="","",E80-F80)</f>
        <v/>
      </c>
      <c r="H80" s="5" t="n"/>
      <c r="I80" s="6" t="n"/>
    </row>
    <row r="81">
      <c r="A81" s="5" t="inlineStr">
        <is>
          <t>E5-LR</t>
        </is>
      </c>
      <c r="B81" s="5" t="inlineStr">
        <is>
          <t>Lucro Real</t>
        </is>
      </c>
      <c r="C81" s="6" t="inlineStr">
        <is>
          <t>servico_anexo_iv; receita R$ 900.000,00/ano; folha CLT R$ 300.000,00; pró-labore R$ 36.000,00; outras desp. R$ 200.000,00; ano 2026; ISS 3%</t>
        </is>
      </c>
      <c r="D81" s="5" t="inlineStr">
        <is>
          <t>CSLL</t>
        </is>
      </c>
      <c r="E81" s="7" t="n">
        <v>12523.5</v>
      </c>
      <c r="F81" s="8" t="n"/>
      <c r="G81" s="7">
        <f>IF(F81="","",E81-F81)</f>
        <v/>
      </c>
      <c r="H81" s="5" t="n"/>
      <c r="I81" s="6" t="n"/>
    </row>
    <row r="82">
      <c r="A82" s="9" t="inlineStr">
        <is>
          <t>E5-LR</t>
        </is>
      </c>
      <c r="B82" s="9" t="inlineStr">
        <is>
          <t>Lucro Real</t>
        </is>
      </c>
      <c r="C82" s="10" t="inlineStr">
        <is>
          <t>servico_anexo_iv; receita R$ 900.000,00/ano; folha CLT R$ 300.000,00; pró-labore R$ 36.000,00; outras desp. R$ 200.000,00; ano 2026; ISS 3%</t>
        </is>
      </c>
      <c r="D82" s="9" t="inlineStr">
        <is>
          <t>TOTAL</t>
        </is>
      </c>
      <c r="E82" s="11">
        <f>SUM(E76:E81)</f>
        <v/>
      </c>
      <c r="F82" s="12" t="n"/>
      <c r="G82" s="11">
        <f>IF(F82="","",E82-F82)</f>
        <v/>
      </c>
      <c r="H82" s="9" t="n"/>
      <c r="I82" s="10" t="n"/>
    </row>
    <row r="83">
      <c r="A83" s="16" t="inlineStr">
        <is>
          <t>E6-SN</t>
        </is>
      </c>
      <c r="B83" s="16" t="inlineStr">
        <is>
          <t>Simples Nacional</t>
        </is>
      </c>
      <c r="C83" s="17" t="inlineStr">
        <is>
          <t>servico_anexo_iii; receita R$ 8.000.000,00/ano; folha CLT R$ 1.500.000,00; pró-labore R$ 120.000,00; outras desp. R$ 2.000.000,00; ano 2026; ISS 5%</t>
        </is>
      </c>
      <c r="D83" s="16" t="inlineStr">
        <is>
          <t>TOTAL</t>
        </is>
      </c>
      <c r="E83" s="18" t="n">
        <v>0</v>
      </c>
      <c r="F83" s="12" t="n"/>
      <c r="G83" s="18">
        <f>IF(F83="","",E83-F83)</f>
        <v/>
      </c>
      <c r="H83" s="16" t="n"/>
      <c r="I83" s="17" t="n"/>
    </row>
    <row r="84">
      <c r="A84" s="5" t="inlineStr">
        <is>
          <t>E6-LP</t>
        </is>
      </c>
      <c r="B84" s="5" t="inlineStr">
        <is>
          <t>Lucro Presumido</t>
        </is>
      </c>
      <c r="C84" s="6" t="inlineStr">
        <is>
          <t>servico_anexo_iii; receita R$ 8.000.000,00/ano; folha CLT R$ 1.500.000,00; pró-labore R$ 120.000,00; outras desp. R$ 2.000.000,00; ano 2026; ISS 5%</t>
        </is>
      </c>
      <c r="D84" s="5" t="inlineStr">
        <is>
          <t>IRPJ</t>
        </is>
      </c>
      <c r="E84" s="7" t="n">
        <v>640000</v>
      </c>
      <c r="F84" s="8" t="n"/>
      <c r="G84" s="7">
        <f>IF(F84="","",E84-F84)</f>
        <v/>
      </c>
      <c r="H84" s="5" t="n"/>
      <c r="I84" s="6" t="n"/>
    </row>
    <row r="85">
      <c r="A85" s="5" t="inlineStr">
        <is>
          <t>E6-LP</t>
        </is>
      </c>
      <c r="B85" s="5" t="inlineStr">
        <is>
          <t>Lucro Presumido</t>
        </is>
      </c>
      <c r="C85" s="6" t="inlineStr">
        <is>
          <t>servico_anexo_iii; receita R$ 8.000.000,00/ano; folha CLT R$ 1.500.000,00; pró-labore R$ 120.000,00; outras desp. R$ 2.000.000,00; ano 2026; ISS 5%</t>
        </is>
      </c>
      <c r="D85" s="5" t="inlineStr">
        <is>
          <t>CSLL</t>
        </is>
      </c>
      <c r="E85" s="7" t="n">
        <v>236880</v>
      </c>
      <c r="F85" s="8" t="n"/>
      <c r="G85" s="7">
        <f>IF(F85="","",E85-F85)</f>
        <v/>
      </c>
      <c r="H85" s="5" t="n"/>
      <c r="I85" s="6" t="n"/>
    </row>
    <row r="86">
      <c r="A86" s="5" t="inlineStr">
        <is>
          <t>E6-LP</t>
        </is>
      </c>
      <c r="B86" s="5" t="inlineStr">
        <is>
          <t>Lucro Presumido</t>
        </is>
      </c>
      <c r="C86" s="6" t="inlineStr">
        <is>
          <t>servico_anexo_iii; receita R$ 8.000.000,00/ano; folha CLT R$ 1.500.000,00; pró-labore R$ 120.000,00; outras desp. R$ 2.000.000,00; ano 2026; ISS 5%</t>
        </is>
      </c>
      <c r="D86" s="5" t="inlineStr">
        <is>
          <t>PIS</t>
        </is>
      </c>
      <c r="E86" s="7" t="n">
        <v>52000</v>
      </c>
      <c r="F86" s="8" t="n"/>
      <c r="G86" s="7">
        <f>IF(F86="","",E86-F86)</f>
        <v/>
      </c>
      <c r="H86" s="5" t="n"/>
      <c r="I86" s="6" t="n"/>
    </row>
    <row r="87">
      <c r="A87" s="5" t="inlineStr">
        <is>
          <t>E6-LP</t>
        </is>
      </c>
      <c r="B87" s="5" t="inlineStr">
        <is>
          <t>Lucro Presumido</t>
        </is>
      </c>
      <c r="C87" s="6" t="inlineStr">
        <is>
          <t>servico_anexo_iii; receita R$ 8.000.000,00/ano; folha CLT R$ 1.500.000,00; pró-labore R$ 120.000,00; outras desp. R$ 2.000.000,00; ano 2026; ISS 5%</t>
        </is>
      </c>
      <c r="D87" s="5" t="inlineStr">
        <is>
          <t>Cofins</t>
        </is>
      </c>
      <c r="E87" s="7" t="n">
        <v>240000</v>
      </c>
      <c r="F87" s="8" t="n"/>
      <c r="G87" s="7">
        <f>IF(F87="","",E87-F87)</f>
        <v/>
      </c>
      <c r="H87" s="5" t="n"/>
      <c r="I87" s="6" t="n"/>
    </row>
    <row r="88">
      <c r="A88" s="5" t="inlineStr">
        <is>
          <t>E6-LP</t>
        </is>
      </c>
      <c r="B88" s="5" t="inlineStr">
        <is>
          <t>Lucro Presumido</t>
        </is>
      </c>
      <c r="C88" s="6" t="inlineStr">
        <is>
          <t>servico_anexo_iii; receita R$ 8.000.000,00/ano; folha CLT R$ 1.500.000,00; pró-labore R$ 120.000,00; outras desp. R$ 2.000.000,00; ano 2026; ISS 5%</t>
        </is>
      </c>
      <c r="D88" s="5" t="inlineStr">
        <is>
          <t>ISS</t>
        </is>
      </c>
      <c r="E88" s="7" t="n">
        <v>400000</v>
      </c>
      <c r="F88" s="8" t="n"/>
      <c r="G88" s="7">
        <f>IF(F88="","",E88-F88)</f>
        <v/>
      </c>
      <c r="H88" s="5" t="n"/>
      <c r="I88" s="6" t="n"/>
    </row>
    <row r="89">
      <c r="A89" s="5" t="inlineStr">
        <is>
          <t>E6-LP</t>
        </is>
      </c>
      <c r="B89" s="5" t="inlineStr">
        <is>
          <t>Lucro Presumido</t>
        </is>
      </c>
      <c r="C89" s="6" t="inlineStr">
        <is>
          <t>servico_anexo_iii; receita R$ 8.000.000,00/ano; folha CLT R$ 1.500.000,00; pró-labore R$ 120.000,00; outras desp. R$ 2.000.000,00; ano 2026; ISS 5%</t>
        </is>
      </c>
      <c r="D89" s="5" t="inlineStr">
        <is>
          <t>INSS patronal</t>
        </is>
      </c>
      <c r="E89" s="7" t="n">
        <v>441000</v>
      </c>
      <c r="F89" s="8" t="n"/>
      <c r="G89" s="7">
        <f>IF(F89="","",E89-F89)</f>
        <v/>
      </c>
      <c r="H89" s="5" t="n"/>
      <c r="I89" s="6" t="n"/>
    </row>
    <row r="90">
      <c r="A90" s="9" t="inlineStr">
        <is>
          <t>E6-LP</t>
        </is>
      </c>
      <c r="B90" s="9" t="inlineStr">
        <is>
          <t>Lucro Presumido</t>
        </is>
      </c>
      <c r="C90" s="10" t="inlineStr">
        <is>
          <t>servico_anexo_iii; receita R$ 8.000.000,00/ano; folha CLT R$ 1.500.000,00; pró-labore R$ 120.000,00; outras desp. R$ 2.000.000,00; ano 2026; ISS 5%</t>
        </is>
      </c>
      <c r="D90" s="9" t="inlineStr">
        <is>
          <t>TOTAL</t>
        </is>
      </c>
      <c r="E90" s="11">
        <f>SUM(E84:E89)</f>
        <v/>
      </c>
      <c r="F90" s="12" t="n"/>
      <c r="G90" s="11">
        <f>IF(F90="","",E90-F90)</f>
        <v/>
      </c>
      <c r="H90" s="9" t="n"/>
      <c r="I90" s="10" t="n"/>
    </row>
    <row r="91">
      <c r="A91" s="13" t="inlineStr">
        <is>
          <t>E6-LR</t>
        </is>
      </c>
      <c r="B91" s="13" t="inlineStr">
        <is>
          <t>Lucro Real</t>
        </is>
      </c>
      <c r="C91" s="14" t="inlineStr">
        <is>
          <t>servico_anexo_iii; receita R$ 8.000.000,00/ano; folha CLT R$ 1.500.000,00; pró-labore R$ 120.000,00; outras desp. R$ 2.000.000,00; ano 2026; ISS 5%</t>
        </is>
      </c>
      <c r="D91" s="13" t="inlineStr">
        <is>
          <t>PIS</t>
        </is>
      </c>
      <c r="E91" s="15" t="n">
        <v>132000</v>
      </c>
      <c r="F91" s="8" t="n"/>
      <c r="G91" s="15">
        <f>IF(F91="","",E91-F91)</f>
        <v/>
      </c>
      <c r="H91" s="13" t="n"/>
      <c r="I91" s="14" t="n"/>
    </row>
    <row r="92">
      <c r="A92" s="13" t="inlineStr">
        <is>
          <t>E6-LR</t>
        </is>
      </c>
      <c r="B92" s="13" t="inlineStr">
        <is>
          <t>Lucro Real</t>
        </is>
      </c>
      <c r="C92" s="14" t="inlineStr">
        <is>
          <t>servico_anexo_iii; receita R$ 8.000.000,00/ano; folha CLT R$ 1.500.000,00; pró-labore R$ 120.000,00; outras desp. R$ 2.000.000,00; ano 2026; ISS 5%</t>
        </is>
      </c>
      <c r="D92" s="13" t="inlineStr">
        <is>
          <t>Cofins</t>
        </is>
      </c>
      <c r="E92" s="15" t="n">
        <v>608000</v>
      </c>
      <c r="F92" s="8" t="n"/>
      <c r="G92" s="15">
        <f>IF(F92="","",E92-F92)</f>
        <v/>
      </c>
      <c r="H92" s="13" t="n"/>
      <c r="I92" s="14" t="n"/>
    </row>
    <row r="93">
      <c r="A93" s="13" t="inlineStr">
        <is>
          <t>E6-LR</t>
        </is>
      </c>
      <c r="B93" s="13" t="inlineStr">
        <is>
          <t>Lucro Real</t>
        </is>
      </c>
      <c r="C93" s="14" t="inlineStr">
        <is>
          <t>servico_anexo_iii; receita R$ 8.000.000,00/ano; folha CLT R$ 1.500.000,00; pró-labore R$ 120.000,00; outras desp. R$ 2.000.000,00; ano 2026; ISS 5%</t>
        </is>
      </c>
      <c r="D93" s="13" t="inlineStr">
        <is>
          <t>ISS</t>
        </is>
      </c>
      <c r="E93" s="15" t="n">
        <v>400000</v>
      </c>
      <c r="F93" s="8" t="n"/>
      <c r="G93" s="15">
        <f>IF(F93="","",E93-F93)</f>
        <v/>
      </c>
      <c r="H93" s="13" t="n"/>
      <c r="I93" s="14" t="n"/>
    </row>
    <row r="94">
      <c r="A94" s="13" t="inlineStr">
        <is>
          <t>E6-LR</t>
        </is>
      </c>
      <c r="B94" s="13" t="inlineStr">
        <is>
          <t>Lucro Real</t>
        </is>
      </c>
      <c r="C94" s="14" t="inlineStr">
        <is>
          <t>servico_anexo_iii; receita R$ 8.000.000,00/ano; folha CLT R$ 1.500.000,00; pró-labore R$ 120.000,00; outras desp. R$ 2.000.000,00; ano 2026; ISS 5%</t>
        </is>
      </c>
      <c r="D94" s="13" t="inlineStr">
        <is>
          <t>INSS patronal</t>
        </is>
      </c>
      <c r="E94" s="15" t="n">
        <v>441000</v>
      </c>
      <c r="F94" s="8" t="n"/>
      <c r="G94" s="15">
        <f>IF(F94="","",E94-F94)</f>
        <v/>
      </c>
      <c r="H94" s="13" t="n"/>
      <c r="I94" s="14" t="n"/>
    </row>
    <row r="95">
      <c r="A95" s="13" t="inlineStr">
        <is>
          <t>E6-LR</t>
        </is>
      </c>
      <c r="B95" s="13" t="inlineStr">
        <is>
          <t>Lucro Real</t>
        </is>
      </c>
      <c r="C95" s="14" t="inlineStr">
        <is>
          <t>servico_anexo_iii; receita R$ 8.000.000,00/ano; folha CLT R$ 1.500.000,00; pró-labore R$ 120.000,00; outras desp. R$ 2.000.000,00; ano 2026; ISS 5%</t>
        </is>
      </c>
      <c r="D95" s="13" t="inlineStr">
        <is>
          <t>IRPJ</t>
        </is>
      </c>
      <c r="E95" s="15" t="n">
        <v>645750</v>
      </c>
      <c r="F95" s="8" t="n"/>
      <c r="G95" s="15">
        <f>IF(F95="","",E95-F95)</f>
        <v/>
      </c>
      <c r="H95" s="13" t="n"/>
      <c r="I95" s="14" t="n"/>
    </row>
    <row r="96">
      <c r="A96" s="13" t="inlineStr">
        <is>
          <t>E6-LR</t>
        </is>
      </c>
      <c r="B96" s="13" t="inlineStr">
        <is>
          <t>Lucro Real</t>
        </is>
      </c>
      <c r="C96" s="14" t="inlineStr">
        <is>
          <t>servico_anexo_iii; receita R$ 8.000.000,00/ano; folha CLT R$ 1.500.000,00; pró-labore R$ 120.000,00; outras desp. R$ 2.000.000,00; ano 2026; ISS 5%</t>
        </is>
      </c>
      <c r="D96" s="13" t="inlineStr">
        <is>
          <t>CSLL</t>
        </is>
      </c>
      <c r="E96" s="15" t="n">
        <v>241110</v>
      </c>
      <c r="F96" s="8" t="n"/>
      <c r="G96" s="15">
        <f>IF(F96="","",E96-F96)</f>
        <v/>
      </c>
      <c r="H96" s="13" t="n"/>
      <c r="I96" s="14" t="n"/>
    </row>
    <row r="97">
      <c r="A97" s="16" t="inlineStr">
        <is>
          <t>E6-LR</t>
        </is>
      </c>
      <c r="B97" s="16" t="inlineStr">
        <is>
          <t>Lucro Real</t>
        </is>
      </c>
      <c r="C97" s="17" t="inlineStr">
        <is>
          <t>servico_anexo_iii; receita R$ 8.000.000,00/ano; folha CLT R$ 1.500.000,00; pró-labore R$ 120.000,00; outras desp. R$ 2.000.000,00; ano 2026; ISS 5%</t>
        </is>
      </c>
      <c r="D97" s="16" t="inlineStr">
        <is>
          <t>TOTAL</t>
        </is>
      </c>
      <c r="E97" s="18">
        <f>SUM(E91:E96)</f>
        <v/>
      </c>
      <c r="F97" s="12" t="n"/>
      <c r="G97" s="18">
        <f>IF(F97="","",E97-F97)</f>
        <v/>
      </c>
      <c r="H97" s="16" t="n"/>
      <c r="I97" s="17" t="n"/>
    </row>
    <row r="98">
      <c r="A98" s="5" t="inlineStr">
        <is>
          <t>E7-SN</t>
        </is>
      </c>
      <c r="B98" s="5" t="inlineStr">
        <is>
          <t>Simples Nacional</t>
        </is>
      </c>
      <c r="C98" s="6" t="inlineStr">
        <is>
          <t>servico_fator_r; receita R$ 1.200.000,00/ano; folha CLT R$ 150.000,00; pró-labore R$ 48.000,00; desp. creditáveis R$ 60.000,00; outras desp. R$ 300.000,00; ano 2026; ISS 5%</t>
        </is>
      </c>
      <c r="D98" s="5" t="inlineStr">
        <is>
          <t>DAS</t>
        </is>
      </c>
      <c r="E98" s="7" t="n">
        <v>228900</v>
      </c>
      <c r="F98" s="8" t="n"/>
      <c r="G98" s="7">
        <f>IF(F98="","",E98-F98)</f>
        <v/>
      </c>
      <c r="H98" s="5" t="n"/>
      <c r="I98" s="6" t="n"/>
    </row>
    <row r="99">
      <c r="A99" s="9" t="inlineStr">
        <is>
          <t>E7-SN</t>
        </is>
      </c>
      <c r="B99" s="9" t="inlineStr">
        <is>
          <t>Simples Nacional</t>
        </is>
      </c>
      <c r="C99" s="10" t="inlineStr">
        <is>
          <t>servico_fator_r; receita R$ 1.200.000,00/ano; folha CLT R$ 150.000,00; pró-labore R$ 48.000,00; desp. creditáveis R$ 60.000,00; outras desp. R$ 300.000,00; ano 2026; ISS 5%</t>
        </is>
      </c>
      <c r="D99" s="9" t="inlineStr">
        <is>
          <t>TOTAL</t>
        </is>
      </c>
      <c r="E99" s="11">
        <f>SUM(E98:E98)</f>
        <v/>
      </c>
      <c r="F99" s="12" t="n"/>
      <c r="G99" s="11">
        <f>IF(F99="","",E99-F99)</f>
        <v/>
      </c>
      <c r="H99" s="9" t="n"/>
      <c r="I99" s="10" t="n"/>
    </row>
    <row r="100">
      <c r="A100" s="13" t="inlineStr">
        <is>
          <t>E7-LP</t>
        </is>
      </c>
      <c r="B100" s="13" t="inlineStr">
        <is>
          <t>Lucro Presumido</t>
        </is>
      </c>
      <c r="C100" s="14" t="inlineStr">
        <is>
          <t>servico_fator_r; receita R$ 1.200.000,00/ano; folha CLT R$ 150.000,00; pró-labore R$ 48.000,00; desp. creditáveis R$ 60.000,00; outras desp. R$ 300.000,00; ano 2026; ISS 5%</t>
        </is>
      </c>
      <c r="D100" s="13" t="inlineStr">
        <is>
          <t>IRPJ</t>
        </is>
      </c>
      <c r="E100" s="15" t="n">
        <v>72000</v>
      </c>
      <c r="F100" s="8" t="n"/>
      <c r="G100" s="15">
        <f>IF(F100="","",E100-F100)</f>
        <v/>
      </c>
      <c r="H100" s="13" t="n"/>
      <c r="I100" s="14" t="n"/>
    </row>
    <row r="101">
      <c r="A101" s="13" t="inlineStr">
        <is>
          <t>E7-LP</t>
        </is>
      </c>
      <c r="B101" s="13" t="inlineStr">
        <is>
          <t>Lucro Presumido</t>
        </is>
      </c>
      <c r="C101" s="14" t="inlineStr">
        <is>
          <t>servico_fator_r; receita R$ 1.200.000,00/ano; folha CLT R$ 150.000,00; pró-labore R$ 48.000,00; desp. creditáveis R$ 60.000,00; outras desp. R$ 300.000,00; ano 2026; ISS 5%</t>
        </is>
      </c>
      <c r="D101" s="13" t="inlineStr">
        <is>
          <t>CSLL</t>
        </is>
      </c>
      <c r="E101" s="15" t="n">
        <v>34560</v>
      </c>
      <c r="F101" s="8" t="n"/>
      <c r="G101" s="15">
        <f>IF(F101="","",E101-F101)</f>
        <v/>
      </c>
      <c r="H101" s="13" t="n"/>
      <c r="I101" s="14" t="n"/>
    </row>
    <row r="102">
      <c r="A102" s="13" t="inlineStr">
        <is>
          <t>E7-LP</t>
        </is>
      </c>
      <c r="B102" s="13" t="inlineStr">
        <is>
          <t>Lucro Presumido</t>
        </is>
      </c>
      <c r="C102" s="14" t="inlineStr">
        <is>
          <t>servico_fator_r; receita R$ 1.200.000,00/ano; folha CLT R$ 150.000,00; pró-labore R$ 48.000,00; desp. creditáveis R$ 60.000,00; outras desp. R$ 300.000,00; ano 2026; ISS 5%</t>
        </is>
      </c>
      <c r="D102" s="13" t="inlineStr">
        <is>
          <t>PIS</t>
        </is>
      </c>
      <c r="E102" s="15" t="n">
        <v>7800</v>
      </c>
      <c r="F102" s="8" t="n"/>
      <c r="G102" s="15">
        <f>IF(F102="","",E102-F102)</f>
        <v/>
      </c>
      <c r="H102" s="13" t="n"/>
      <c r="I102" s="14" t="n"/>
    </row>
    <row r="103">
      <c r="A103" s="13" t="inlineStr">
        <is>
          <t>E7-LP</t>
        </is>
      </c>
      <c r="B103" s="13" t="inlineStr">
        <is>
          <t>Lucro Presumido</t>
        </is>
      </c>
      <c r="C103" s="14" t="inlineStr">
        <is>
          <t>servico_fator_r; receita R$ 1.200.000,00/ano; folha CLT R$ 150.000,00; pró-labore R$ 48.000,00; desp. creditáveis R$ 60.000,00; outras desp. R$ 300.000,00; ano 2026; ISS 5%</t>
        </is>
      </c>
      <c r="D103" s="13" t="inlineStr">
        <is>
          <t>Cofins</t>
        </is>
      </c>
      <c r="E103" s="15" t="n">
        <v>36000</v>
      </c>
      <c r="F103" s="8" t="n"/>
      <c r="G103" s="15">
        <f>IF(F103="","",E103-F103)</f>
        <v/>
      </c>
      <c r="H103" s="13" t="n"/>
      <c r="I103" s="14" t="n"/>
    </row>
    <row r="104">
      <c r="A104" s="13" t="inlineStr">
        <is>
          <t>E7-LP</t>
        </is>
      </c>
      <c r="B104" s="13" t="inlineStr">
        <is>
          <t>Lucro Presumido</t>
        </is>
      </c>
      <c r="C104" s="14" t="inlineStr">
        <is>
          <t>servico_fator_r; receita R$ 1.200.000,00/ano; folha CLT R$ 150.000,00; pró-labore R$ 48.000,00; desp. creditáveis R$ 60.000,00; outras desp. R$ 300.000,00; ano 2026; ISS 5%</t>
        </is>
      </c>
      <c r="D104" s="13" t="inlineStr">
        <is>
          <t>ISS</t>
        </is>
      </c>
      <c r="E104" s="15" t="n">
        <v>60000</v>
      </c>
      <c r="F104" s="8" t="n"/>
      <c r="G104" s="15">
        <f>IF(F104="","",E104-F104)</f>
        <v/>
      </c>
      <c r="H104" s="13" t="n"/>
      <c r="I104" s="14" t="n"/>
    </row>
    <row r="105">
      <c r="A105" s="13" t="inlineStr">
        <is>
          <t>E7-LP</t>
        </is>
      </c>
      <c r="B105" s="13" t="inlineStr">
        <is>
          <t>Lucro Presumido</t>
        </is>
      </c>
      <c r="C105" s="14" t="inlineStr">
        <is>
          <t>servico_fator_r; receita R$ 1.200.000,00/ano; folha CLT R$ 150.000,00; pró-labore R$ 48.000,00; desp. creditáveis R$ 60.000,00; outras desp. R$ 300.000,00; ano 2026; ISS 5%</t>
        </is>
      </c>
      <c r="D105" s="13" t="inlineStr">
        <is>
          <t>INSS patronal</t>
        </is>
      </c>
      <c r="E105" s="15" t="n">
        <v>51300</v>
      </c>
      <c r="F105" s="8" t="n"/>
      <c r="G105" s="15">
        <f>IF(F105="","",E105-F105)</f>
        <v/>
      </c>
      <c r="H105" s="13" t="n"/>
      <c r="I105" s="14" t="n"/>
    </row>
    <row r="106">
      <c r="A106" s="16" t="inlineStr">
        <is>
          <t>E7-LP</t>
        </is>
      </c>
      <c r="B106" s="16" t="inlineStr">
        <is>
          <t>Lucro Presumido</t>
        </is>
      </c>
      <c r="C106" s="17" t="inlineStr">
        <is>
          <t>servico_fator_r; receita R$ 1.200.000,00/ano; folha CLT R$ 150.000,00; pró-labore R$ 48.000,00; desp. creditáveis R$ 60.000,00; outras desp. R$ 300.000,00; ano 2026; ISS 5%</t>
        </is>
      </c>
      <c r="D106" s="16" t="inlineStr">
        <is>
          <t>TOTAL</t>
        </is>
      </c>
      <c r="E106" s="18">
        <f>SUM(E100:E105)</f>
        <v/>
      </c>
      <c r="F106" s="12" t="n"/>
      <c r="G106" s="18">
        <f>IF(F106="","",E106-F106)</f>
        <v/>
      </c>
      <c r="H106" s="16" t="n"/>
      <c r="I106" s="17" t="n"/>
    </row>
    <row r="107">
      <c r="A107" s="5" t="inlineStr">
        <is>
          <t>E7-LR</t>
        </is>
      </c>
      <c r="B107" s="5" t="inlineStr">
        <is>
          <t>Lucro Real</t>
        </is>
      </c>
      <c r="C107" s="6" t="inlineStr">
        <is>
          <t>servico_fator_r; receita R$ 1.200.000,00/ano; folha CLT R$ 150.000,00; pró-labore R$ 48.000,00; desp. creditáveis R$ 60.000,00; outras desp. R$ 300.000,00; ano 2026; ISS 5%</t>
        </is>
      </c>
      <c r="D107" s="5" t="inlineStr">
        <is>
          <t>PIS</t>
        </is>
      </c>
      <c r="E107" s="7" t="n">
        <v>18810</v>
      </c>
      <c r="F107" s="8" t="n"/>
      <c r="G107" s="7">
        <f>IF(F107="","",E107-F107)</f>
        <v/>
      </c>
      <c r="H107" s="5" t="n"/>
      <c r="I107" s="6" t="n"/>
    </row>
    <row r="108">
      <c r="A108" s="5" t="inlineStr">
        <is>
          <t>E7-LR</t>
        </is>
      </c>
      <c r="B108" s="5" t="inlineStr">
        <is>
          <t>Lucro Real</t>
        </is>
      </c>
      <c r="C108" s="6" t="inlineStr">
        <is>
          <t>servico_fator_r; receita R$ 1.200.000,00/ano; folha CLT R$ 150.000,00; pró-labore R$ 48.000,00; desp. creditáveis R$ 60.000,00; outras desp. R$ 300.000,00; ano 2026; ISS 5%</t>
        </is>
      </c>
      <c r="D108" s="5" t="inlineStr">
        <is>
          <t>Cofins</t>
        </is>
      </c>
      <c r="E108" s="7" t="n">
        <v>86640</v>
      </c>
      <c r="F108" s="8" t="n"/>
      <c r="G108" s="7">
        <f>IF(F108="","",E108-F108)</f>
        <v/>
      </c>
      <c r="H108" s="5" t="n"/>
      <c r="I108" s="6" t="n"/>
    </row>
    <row r="109">
      <c r="A109" s="5" t="inlineStr">
        <is>
          <t>E7-LR</t>
        </is>
      </c>
      <c r="B109" s="5" t="inlineStr">
        <is>
          <t>Lucro Real</t>
        </is>
      </c>
      <c r="C109" s="6" t="inlineStr">
        <is>
          <t>servico_fator_r; receita R$ 1.200.000,00/ano; folha CLT R$ 150.000,00; pró-labore R$ 48.000,00; desp. creditáveis R$ 60.000,00; outras desp. R$ 300.000,00; ano 2026; ISS 5%</t>
        </is>
      </c>
      <c r="D109" s="5" t="inlineStr">
        <is>
          <t>ISS</t>
        </is>
      </c>
      <c r="E109" s="7" t="n">
        <v>60000</v>
      </c>
      <c r="F109" s="8" t="n"/>
      <c r="G109" s="7">
        <f>IF(F109="","",E109-F109)</f>
        <v/>
      </c>
      <c r="H109" s="5" t="n"/>
      <c r="I109" s="6" t="n"/>
    </row>
    <row r="110">
      <c r="A110" s="5" t="inlineStr">
        <is>
          <t>E7-LR</t>
        </is>
      </c>
      <c r="B110" s="5" t="inlineStr">
        <is>
          <t>Lucro Real</t>
        </is>
      </c>
      <c r="C110" s="6" t="inlineStr">
        <is>
          <t>servico_fator_r; receita R$ 1.200.000,00/ano; folha CLT R$ 150.000,00; pró-labore R$ 48.000,00; desp. creditáveis R$ 60.000,00; outras desp. R$ 300.000,00; ano 2026; ISS 5%</t>
        </is>
      </c>
      <c r="D110" s="5" t="inlineStr">
        <is>
          <t>INSS patronal</t>
        </is>
      </c>
      <c r="E110" s="7" t="n">
        <v>51300</v>
      </c>
      <c r="F110" s="8" t="n"/>
      <c r="G110" s="7">
        <f>IF(F110="","",E110-F110)</f>
        <v/>
      </c>
      <c r="H110" s="5" t="n"/>
      <c r="I110" s="6" t="n"/>
    </row>
    <row r="111">
      <c r="A111" s="5" t="inlineStr">
        <is>
          <t>E7-LR</t>
        </is>
      </c>
      <c r="B111" s="5" t="inlineStr">
        <is>
          <t>Lucro Real</t>
        </is>
      </c>
      <c r="C111" s="6" t="inlineStr">
        <is>
          <t>servico_fator_r; receita R$ 1.200.000,00/ano; folha CLT R$ 150.000,00; pró-labore R$ 48.000,00; desp. creditáveis R$ 60.000,00; outras desp. R$ 300.000,00; ano 2026; ISS 5%</t>
        </is>
      </c>
      <c r="D111" s="5" t="inlineStr">
        <is>
          <t>IRPJ</t>
        </is>
      </c>
      <c r="E111" s="7" t="n">
        <v>79312.5</v>
      </c>
      <c r="F111" s="8" t="n"/>
      <c r="G111" s="7">
        <f>IF(F111="","",E111-F111)</f>
        <v/>
      </c>
      <c r="H111" s="5" t="n"/>
      <c r="I111" s="6" t="n"/>
    </row>
    <row r="112">
      <c r="A112" s="5" t="inlineStr">
        <is>
          <t>E7-LR</t>
        </is>
      </c>
      <c r="B112" s="5" t="inlineStr">
        <is>
          <t>Lucro Real</t>
        </is>
      </c>
      <c r="C112" s="6" t="inlineStr">
        <is>
          <t>servico_fator_r; receita R$ 1.200.000,00/ano; folha CLT R$ 150.000,00; pró-labore R$ 48.000,00; desp. creditáveis R$ 60.000,00; outras desp. R$ 300.000,00; ano 2026; ISS 5%</t>
        </is>
      </c>
      <c r="D112" s="5" t="inlineStr">
        <is>
          <t>CSLL</t>
        </is>
      </c>
      <c r="E112" s="7" t="n">
        <v>37192.5</v>
      </c>
      <c r="F112" s="8" t="n"/>
      <c r="G112" s="7">
        <f>IF(F112="","",E112-F112)</f>
        <v/>
      </c>
      <c r="H112" s="5" t="n"/>
      <c r="I112" s="6" t="n"/>
    </row>
    <row r="113">
      <c r="A113" s="9" t="inlineStr">
        <is>
          <t>E7-LR</t>
        </is>
      </c>
      <c r="B113" s="9" t="inlineStr">
        <is>
          <t>Lucro Real</t>
        </is>
      </c>
      <c r="C113" s="10" t="inlineStr">
        <is>
          <t>servico_fator_r; receita R$ 1.200.000,00/ano; folha CLT R$ 150.000,00; pró-labore R$ 48.000,00; desp. creditáveis R$ 60.000,00; outras desp. R$ 300.000,00; ano 2026; ISS 5%</t>
        </is>
      </c>
      <c r="D113" s="9" t="inlineStr">
        <is>
          <t>TOTAL</t>
        </is>
      </c>
      <c r="E113" s="11">
        <f>SUM(E107:E112)</f>
        <v/>
      </c>
      <c r="F113" s="12" t="n"/>
      <c r="G113" s="11">
        <f>IF(F113="","",E113-F113)</f>
        <v/>
      </c>
      <c r="H113" s="9" t="n"/>
      <c r="I113" s="10" t="n"/>
    </row>
    <row r="114">
      <c r="A114" s="13" t="inlineStr">
        <is>
          <t>PF1</t>
        </is>
      </c>
      <c r="B114" s="13" t="inlineStr">
        <is>
          <t>IRPF/INSS mensal (jan/2026)</t>
        </is>
      </c>
      <c r="C114" s="14" t="inlineStr">
        <is>
          <t>salário R$ 3.500,00; 0 dependente(s); CLT</t>
        </is>
      </c>
      <c r="D114" s="13" t="inlineStr">
        <is>
          <t>INSS empregado</t>
        </is>
      </c>
      <c r="E114" s="15" t="n">
        <v>308.6</v>
      </c>
      <c r="F114" s="8" t="n"/>
      <c r="G114" s="15">
        <f>IF(F114="","",E114-F114)</f>
        <v/>
      </c>
      <c r="H114" s="13" t="n"/>
      <c r="I114" s="14" t="n"/>
    </row>
    <row r="115">
      <c r="A115" s="13" t="inlineStr">
        <is>
          <t>PF1</t>
        </is>
      </c>
      <c r="B115" s="13" t="inlineStr">
        <is>
          <t>IRPF/INSS mensal (jan/2026)</t>
        </is>
      </c>
      <c r="C115" s="14" t="inlineStr">
        <is>
          <t>salário R$ 3.500,00; 0 dependente(s); CLT</t>
        </is>
      </c>
      <c r="D115" s="13" t="inlineStr">
        <is>
          <t>IRPF</t>
        </is>
      </c>
      <c r="E115" s="15" t="n">
        <v>0</v>
      </c>
      <c r="F115" s="8" t="n"/>
      <c r="G115" s="15">
        <f>IF(F115="","",E115-F115)</f>
        <v/>
      </c>
      <c r="H115" s="13" t="n"/>
      <c r="I115" s="14" t="n"/>
    </row>
    <row r="116">
      <c r="A116" s="16" t="inlineStr">
        <is>
          <t>PF1</t>
        </is>
      </c>
      <c r="B116" s="16" t="inlineStr">
        <is>
          <t>IRPF/INSS mensal (jan/2026)</t>
        </is>
      </c>
      <c r="C116" s="17" t="inlineStr">
        <is>
          <t>salário R$ 3.500,00; 0 dependente(s); CLT</t>
        </is>
      </c>
      <c r="D116" s="16" t="inlineStr">
        <is>
          <t>TOTAL</t>
        </is>
      </c>
      <c r="E116" s="18">
        <f>SUM(E114:E115)</f>
        <v/>
      </c>
      <c r="F116" s="12" t="n"/>
      <c r="G116" s="18">
        <f>IF(F116="","",E116-F116)</f>
        <v/>
      </c>
      <c r="H116" s="16" t="n"/>
      <c r="I116" s="17" t="n"/>
    </row>
    <row r="117">
      <c r="A117" s="5" t="inlineStr">
        <is>
          <t>PF2</t>
        </is>
      </c>
      <c r="B117" s="5" t="inlineStr">
        <is>
          <t>IRPF/INSS mensal (jan/2026)</t>
        </is>
      </c>
      <c r="C117" s="6" t="inlineStr">
        <is>
          <t>salário R$ 5.000,00; 0 dependente(s); CLT</t>
        </is>
      </c>
      <c r="D117" s="5" t="inlineStr">
        <is>
          <t>INSS empregado</t>
        </is>
      </c>
      <c r="E117" s="7" t="n">
        <v>501.51</v>
      </c>
      <c r="F117" s="8" t="n"/>
      <c r="G117" s="7">
        <f>IF(F117="","",E117-F117)</f>
        <v/>
      </c>
      <c r="H117" s="5" t="n"/>
      <c r="I117" s="6" t="n"/>
    </row>
    <row r="118">
      <c r="A118" s="5" t="inlineStr">
        <is>
          <t>PF2</t>
        </is>
      </c>
      <c r="B118" s="5" t="inlineStr">
        <is>
          <t>IRPF/INSS mensal (jan/2026)</t>
        </is>
      </c>
      <c r="C118" s="6" t="inlineStr">
        <is>
          <t>salário R$ 5.000,00; 0 dependente(s); CLT</t>
        </is>
      </c>
      <c r="D118" s="5" t="inlineStr">
        <is>
          <t>IRPF</t>
        </is>
      </c>
      <c r="E118" s="7" t="n">
        <v>0</v>
      </c>
      <c r="F118" s="8" t="n"/>
      <c r="G118" s="7">
        <f>IF(F118="","",E118-F118)</f>
        <v/>
      </c>
      <c r="H118" s="5" t="n"/>
      <c r="I118" s="6" t="n"/>
    </row>
    <row r="119">
      <c r="A119" s="9" t="inlineStr">
        <is>
          <t>PF2</t>
        </is>
      </c>
      <c r="B119" s="9" t="inlineStr">
        <is>
          <t>IRPF/INSS mensal (jan/2026)</t>
        </is>
      </c>
      <c r="C119" s="10" t="inlineStr">
        <is>
          <t>salário R$ 5.000,00; 0 dependente(s); CLT</t>
        </is>
      </c>
      <c r="D119" s="9" t="inlineStr">
        <is>
          <t>TOTAL</t>
        </is>
      </c>
      <c r="E119" s="11">
        <f>SUM(E117:E118)</f>
        <v/>
      </c>
      <c r="F119" s="12" t="n"/>
      <c r="G119" s="11">
        <f>IF(F119="","",E119-F119)</f>
        <v/>
      </c>
      <c r="H119" s="9" t="n"/>
      <c r="I119" s="10" t="n"/>
    </row>
    <row r="120">
      <c r="A120" s="13" t="inlineStr">
        <is>
          <t>PF3</t>
        </is>
      </c>
      <c r="B120" s="13" t="inlineStr">
        <is>
          <t>IRPF/INSS mensal (jan/2026)</t>
        </is>
      </c>
      <c r="C120" s="14" t="inlineStr">
        <is>
          <t>salário R$ 5.900,00; 0 dependente(s); CLT</t>
        </is>
      </c>
      <c r="D120" s="13" t="inlineStr">
        <is>
          <t>INSS empregado</t>
        </is>
      </c>
      <c r="E120" s="15" t="n">
        <v>627.51</v>
      </c>
      <c r="F120" s="8" t="n"/>
      <c r="G120" s="15">
        <f>IF(F120="","",E120-F120)</f>
        <v/>
      </c>
      <c r="H120" s="13" t="n"/>
      <c r="I120" s="14" t="n"/>
    </row>
    <row r="121">
      <c r="A121" s="13" t="inlineStr">
        <is>
          <t>PF3</t>
        </is>
      </c>
      <c r="B121" s="13" t="inlineStr">
        <is>
          <t>IRPF/INSS mensal (jan/2026)</t>
        </is>
      </c>
      <c r="C121" s="14" t="inlineStr">
        <is>
          <t>salário R$ 5.900,00; 0 dependente(s); CLT</t>
        </is>
      </c>
      <c r="D121" s="13" t="inlineStr">
        <is>
          <t>IRPF</t>
        </is>
      </c>
      <c r="E121" s="15" t="n">
        <v>348.14</v>
      </c>
      <c r="F121" s="8" t="n"/>
      <c r="G121" s="15">
        <f>IF(F121="","",E121-F121)</f>
        <v/>
      </c>
      <c r="H121" s="13" t="n"/>
      <c r="I121" s="14" t="n"/>
    </row>
    <row r="122">
      <c r="A122" s="16" t="inlineStr">
        <is>
          <t>PF3</t>
        </is>
      </c>
      <c r="B122" s="16" t="inlineStr">
        <is>
          <t>IRPF/INSS mensal (jan/2026)</t>
        </is>
      </c>
      <c r="C122" s="17" t="inlineStr">
        <is>
          <t>salário R$ 5.900,00; 0 dependente(s); CLT</t>
        </is>
      </c>
      <c r="D122" s="16" t="inlineStr">
        <is>
          <t>TOTAL</t>
        </is>
      </c>
      <c r="E122" s="18">
        <f>SUM(E120:E121)</f>
        <v/>
      </c>
      <c r="F122" s="12" t="n"/>
      <c r="G122" s="18">
        <f>IF(F122="","",E122-F122)</f>
        <v/>
      </c>
      <c r="H122" s="16" t="n"/>
      <c r="I122" s="17" t="n"/>
    </row>
    <row r="123">
      <c r="A123" s="5" t="inlineStr">
        <is>
          <t>PF4</t>
        </is>
      </c>
      <c r="B123" s="5" t="inlineStr">
        <is>
          <t>IRPF/INSS mensal (jan/2026)</t>
        </is>
      </c>
      <c r="C123" s="6" t="inlineStr">
        <is>
          <t>salário R$ 7.000,00; 1 dependente(s); CLT</t>
        </is>
      </c>
      <c r="D123" s="5" t="inlineStr">
        <is>
          <t>INSS empregado</t>
        </is>
      </c>
      <c r="E123" s="7" t="n">
        <v>781.51</v>
      </c>
      <c r="F123" s="8" t="n"/>
      <c r="G123" s="7">
        <f>IF(F123="","",E123-F123)</f>
        <v/>
      </c>
      <c r="H123" s="5" t="n"/>
      <c r="I123" s="6" t="n"/>
    </row>
    <row r="124">
      <c r="A124" s="5" t="inlineStr">
        <is>
          <t>PF4</t>
        </is>
      </c>
      <c r="B124" s="5" t="inlineStr">
        <is>
          <t>IRPF/INSS mensal (jan/2026)</t>
        </is>
      </c>
      <c r="C124" s="6" t="inlineStr">
        <is>
          <t>salário R$ 7.000,00; 1 dependente(s); CLT</t>
        </is>
      </c>
      <c r="D124" s="5" t="inlineStr">
        <is>
          <t>IRPF</t>
        </is>
      </c>
      <c r="E124" s="7" t="n">
        <v>702.61</v>
      </c>
      <c r="F124" s="8" t="n"/>
      <c r="G124" s="7">
        <f>IF(F124="","",E124-F124)</f>
        <v/>
      </c>
      <c r="H124" s="5" t="n"/>
      <c r="I124" s="6" t="n"/>
    </row>
    <row r="125">
      <c r="A125" s="9" t="inlineStr">
        <is>
          <t>PF4</t>
        </is>
      </c>
      <c r="B125" s="9" t="inlineStr">
        <is>
          <t>IRPF/INSS mensal (jan/2026)</t>
        </is>
      </c>
      <c r="C125" s="10" t="inlineStr">
        <is>
          <t>salário R$ 7.000,00; 1 dependente(s); CLT</t>
        </is>
      </c>
      <c r="D125" s="9" t="inlineStr">
        <is>
          <t>TOTAL</t>
        </is>
      </c>
      <c r="E125" s="11">
        <f>SUM(E123:E124)</f>
        <v/>
      </c>
      <c r="F125" s="12" t="n"/>
      <c r="G125" s="11">
        <f>IF(F125="","",E125-F125)</f>
        <v/>
      </c>
      <c r="H125" s="9" t="n"/>
      <c r="I125" s="10" t="n"/>
    </row>
    <row r="126">
      <c r="A126" s="13" t="inlineStr">
        <is>
          <t>PF5</t>
        </is>
      </c>
      <c r="B126" s="13" t="inlineStr">
        <is>
          <t>IRPF/INSS mensal (jan/2026)</t>
        </is>
      </c>
      <c r="C126" s="14" t="inlineStr">
        <is>
          <t>salário R$ 12.000,00; 2 dependente(s); CLT</t>
        </is>
      </c>
      <c r="D126" s="13" t="inlineStr">
        <is>
          <t>INSS empregado</t>
        </is>
      </c>
      <c r="E126" s="15" t="n">
        <v>988.09</v>
      </c>
      <c r="F126" s="8" t="n"/>
      <c r="G126" s="15">
        <f>IF(F126="","",E126-F126)</f>
        <v/>
      </c>
      <c r="H126" s="13" t="n"/>
      <c r="I126" s="14" t="n"/>
    </row>
    <row r="127">
      <c r="A127" s="13" t="inlineStr">
        <is>
          <t>PF5</t>
        </is>
      </c>
      <c r="B127" s="13" t="inlineStr">
        <is>
          <t>IRPF/INSS mensal (jan/2026)</t>
        </is>
      </c>
      <c r="C127" s="14" t="inlineStr">
        <is>
          <t>salário R$ 12.000,00; 2 dependente(s); CLT</t>
        </is>
      </c>
      <c r="D127" s="13" t="inlineStr">
        <is>
          <t>IRPF</t>
        </is>
      </c>
      <c r="E127" s="15" t="n">
        <v>2015.27</v>
      </c>
      <c r="F127" s="8" t="n"/>
      <c r="G127" s="15">
        <f>IF(F127="","",E127-F127)</f>
        <v/>
      </c>
      <c r="H127" s="13" t="n"/>
      <c r="I127" s="14" t="n"/>
    </row>
    <row r="128">
      <c r="A128" s="16" t="inlineStr">
        <is>
          <t>PF5</t>
        </is>
      </c>
      <c r="B128" s="16" t="inlineStr">
        <is>
          <t>IRPF/INSS mensal (jan/2026)</t>
        </is>
      </c>
      <c r="C128" s="17" t="inlineStr">
        <is>
          <t>salário R$ 12.000,00; 2 dependente(s); CLT</t>
        </is>
      </c>
      <c r="D128" s="16" t="inlineStr">
        <is>
          <t>TOTAL</t>
        </is>
      </c>
      <c r="E128" s="18">
        <f>SUM(E126:E127)</f>
        <v/>
      </c>
      <c r="F128" s="12" t="n"/>
      <c r="G128" s="18">
        <f>IF(F128="","",E128-F128)</f>
        <v/>
      </c>
      <c r="H128" s="16" t="n"/>
      <c r="I128" s="17" t="n"/>
    </row>
    <row r="129">
      <c r="A129" s="5" t="inlineStr">
        <is>
          <t>SOC1-A</t>
        </is>
      </c>
      <c r="B129" s="5" t="inlineStr">
        <is>
          <t>Pró-labore x dividendos (presumido)</t>
        </is>
      </c>
      <c r="C129" s="6" t="inlineStr">
        <is>
          <t>retirada R$ 15.000,00/mês; 100% pró-labore</t>
        </is>
      </c>
      <c r="D129" s="5" t="inlineStr">
        <is>
          <t>INSS do sócio (11%)</t>
        </is>
      </c>
      <c r="E129" s="7" t="n">
        <v>932.3099999999999</v>
      </c>
      <c r="F129" s="8" t="n"/>
      <c r="G129" s="7">
        <f>IF(F129="","",E129-F129)</f>
        <v/>
      </c>
      <c r="H129" s="5" t="n"/>
      <c r="I129" s="6" t="n"/>
    </row>
    <row r="130">
      <c r="A130" s="5" t="inlineStr">
        <is>
          <t>SOC1-A</t>
        </is>
      </c>
      <c r="B130" s="5" t="inlineStr">
        <is>
          <t>Pró-labore x dividendos (presumido)</t>
        </is>
      </c>
      <c r="C130" s="6" t="inlineStr">
        <is>
          <t>retirada R$ 15.000,00/mês; 100% pró-labore</t>
        </is>
      </c>
      <c r="D130" s="5" t="inlineStr">
        <is>
          <t>IRPF sobre pró-labore</t>
        </is>
      </c>
      <c r="E130" s="7" t="n">
        <v>2959.88</v>
      </c>
      <c r="F130" s="8" t="n"/>
      <c r="G130" s="7">
        <f>IF(F130="","",E130-F130)</f>
        <v/>
      </c>
      <c r="H130" s="5" t="n"/>
      <c r="I130" s="6" t="n"/>
    </row>
    <row r="131">
      <c r="A131" s="5" t="inlineStr">
        <is>
          <t>SOC1-A</t>
        </is>
      </c>
      <c r="B131" s="5" t="inlineStr">
        <is>
          <t>Pró-labore x dividendos (presumido)</t>
        </is>
      </c>
      <c r="C131" s="6" t="inlineStr">
        <is>
          <t>retirada R$ 15.000,00/mês; 100% pró-labore</t>
        </is>
      </c>
      <c r="D131" s="5" t="inlineStr">
        <is>
          <t>INSS patronal (20%)</t>
        </is>
      </c>
      <c r="E131" s="7" t="n">
        <v>3000</v>
      </c>
      <c r="F131" s="8" t="n"/>
      <c r="G131" s="7">
        <f>IF(F131="","",E131-F131)</f>
        <v/>
      </c>
      <c r="H131" s="5" t="n"/>
      <c r="I131" s="6" t="n"/>
    </row>
    <row r="132">
      <c r="A132" s="9" t="inlineStr">
        <is>
          <t>SOC1-A</t>
        </is>
      </c>
      <c r="B132" s="9" t="inlineStr">
        <is>
          <t>Pró-labore x dividendos (presumido)</t>
        </is>
      </c>
      <c r="C132" s="10" t="inlineStr">
        <is>
          <t>retirada R$ 15.000,00/mês; 100% pró-labore</t>
        </is>
      </c>
      <c r="D132" s="9" t="inlineStr">
        <is>
          <t>TOTAL</t>
        </is>
      </c>
      <c r="E132" s="11">
        <f>SUM(E129:E131)</f>
        <v/>
      </c>
      <c r="F132" s="12" t="n"/>
      <c r="G132" s="11">
        <f>IF(F132="","",E132-F132)</f>
        <v/>
      </c>
      <c r="H132" s="9" t="n"/>
      <c r="I132" s="10" t="n"/>
    </row>
    <row r="133">
      <c r="A133" s="13" t="inlineStr">
        <is>
          <t>SOC1-B</t>
        </is>
      </c>
      <c r="B133" s="13" t="inlineStr">
        <is>
          <t>Pró-labore x dividendos (presumido)</t>
        </is>
      </c>
      <c r="C133" s="14" t="inlineStr">
        <is>
          <t>retirada R$ 15.000,00/mês; Pró-labore de R$ 1.621,00 + dividendos</t>
        </is>
      </c>
      <c r="D133" s="13" t="inlineStr">
        <is>
          <t>INSS do sócio (11%)</t>
        </is>
      </c>
      <c r="E133" s="15" t="n">
        <v>178.31</v>
      </c>
      <c r="F133" s="8" t="n"/>
      <c r="G133" s="15">
        <f>IF(F133="","",E133-F133)</f>
        <v/>
      </c>
      <c r="H133" s="13" t="n"/>
      <c r="I133" s="14" t="n"/>
    </row>
    <row r="134">
      <c r="A134" s="13" t="inlineStr">
        <is>
          <t>SOC1-B</t>
        </is>
      </c>
      <c r="B134" s="13" t="inlineStr">
        <is>
          <t>Pró-labore x dividendos (presumido)</t>
        </is>
      </c>
      <c r="C134" s="14" t="inlineStr">
        <is>
          <t>retirada R$ 15.000,00/mês; Pró-labore de R$ 1.621,00 + dividendos</t>
        </is>
      </c>
      <c r="D134" s="13" t="inlineStr">
        <is>
          <t>IRPF sobre pró-labore</t>
        </is>
      </c>
      <c r="E134" s="15" t="n">
        <v>0</v>
      </c>
      <c r="F134" s="8" t="n"/>
      <c r="G134" s="15">
        <f>IF(F134="","",E134-F134)</f>
        <v/>
      </c>
      <c r="H134" s="13" t="n"/>
      <c r="I134" s="14" t="n"/>
    </row>
    <row r="135">
      <c r="A135" s="13" t="inlineStr">
        <is>
          <t>SOC1-B</t>
        </is>
      </c>
      <c r="B135" s="13" t="inlineStr">
        <is>
          <t>Pró-labore x dividendos (presumido)</t>
        </is>
      </c>
      <c r="C135" s="14" t="inlineStr">
        <is>
          <t>retirada R$ 15.000,00/mês; Pró-labore de R$ 1.621,00 + dividendos</t>
        </is>
      </c>
      <c r="D135" s="13" t="inlineStr">
        <is>
          <t>INSS patronal (20%)</t>
        </is>
      </c>
      <c r="E135" s="15" t="n">
        <v>324.2</v>
      </c>
      <c r="F135" s="8" t="n"/>
      <c r="G135" s="15">
        <f>IF(F135="","",E135-F135)</f>
        <v/>
      </c>
      <c r="H135" s="13" t="n"/>
      <c r="I135" s="14" t="n"/>
    </row>
    <row r="136">
      <c r="A136" s="16" t="inlineStr">
        <is>
          <t>SOC1-B</t>
        </is>
      </c>
      <c r="B136" s="16" t="inlineStr">
        <is>
          <t>Pró-labore x dividendos (presumido)</t>
        </is>
      </c>
      <c r="C136" s="17" t="inlineStr">
        <is>
          <t>retirada R$ 15.000,00/mês; Pró-labore de R$ 1.621,00 + dividendos</t>
        </is>
      </c>
      <c r="D136" s="16" t="inlineStr">
        <is>
          <t>TOTAL</t>
        </is>
      </c>
      <c r="E136" s="18">
        <f>SUM(E133:E135)</f>
        <v/>
      </c>
      <c r="F136" s="12" t="n"/>
      <c r="G136" s="18">
        <f>IF(F136="","",E136-F136)</f>
        <v/>
      </c>
      <c r="H136" s="16" t="n"/>
      <c r="I136" s="17" t="n"/>
    </row>
    <row r="137">
      <c r="A137" s="5" t="inlineStr">
        <is>
          <t>SOC2-A</t>
        </is>
      </c>
      <c r="B137" s="5" t="inlineStr">
        <is>
          <t>Pró-labore x dividendos (real)</t>
        </is>
      </c>
      <c r="C137" s="6" t="inlineStr">
        <is>
          <t>retirada R$ 30.000,00/mês; 100% pró-labore</t>
        </is>
      </c>
      <c r="D137" s="5" t="inlineStr">
        <is>
          <t>INSS do sócio (11%)</t>
        </is>
      </c>
      <c r="E137" s="7" t="n">
        <v>932.3099999999999</v>
      </c>
      <c r="F137" s="8" t="n"/>
      <c r="G137" s="7">
        <f>IF(F137="","",E137-F137)</f>
        <v/>
      </c>
      <c r="H137" s="5" t="n"/>
      <c r="I137" s="6" t="n"/>
    </row>
    <row r="138">
      <c r="A138" s="5" t="inlineStr">
        <is>
          <t>SOC2-A</t>
        </is>
      </c>
      <c r="B138" s="5" t="inlineStr">
        <is>
          <t>Pró-labore x dividendos (real)</t>
        </is>
      </c>
      <c r="C138" s="6" t="inlineStr">
        <is>
          <t>retirada R$ 30.000,00/mês; 100% pró-labore</t>
        </is>
      </c>
      <c r="D138" s="5" t="inlineStr">
        <is>
          <t>IRPF sobre pró-labore</t>
        </is>
      </c>
      <c r="E138" s="7" t="n">
        <v>7084.88</v>
      </c>
      <c r="F138" s="8" t="n"/>
      <c r="G138" s="7">
        <f>IF(F138="","",E138-F138)</f>
        <v/>
      </c>
      <c r="H138" s="5" t="n"/>
      <c r="I138" s="6" t="n"/>
    </row>
    <row r="139">
      <c r="A139" s="5" t="inlineStr">
        <is>
          <t>SOC2-A</t>
        </is>
      </c>
      <c r="B139" s="5" t="inlineStr">
        <is>
          <t>Pró-labore x dividendos (real)</t>
        </is>
      </c>
      <c r="C139" s="6" t="inlineStr">
        <is>
          <t>retirada R$ 30.000,00/mês; 100% pró-labore</t>
        </is>
      </c>
      <c r="D139" s="5" t="inlineStr">
        <is>
          <t>INSS patronal (20%)</t>
        </is>
      </c>
      <c r="E139" s="7" t="n">
        <v>6000</v>
      </c>
      <c r="F139" s="8" t="n"/>
      <c r="G139" s="7">
        <f>IF(F139="","",E139-F139)</f>
        <v/>
      </c>
      <c r="H139" s="5" t="n"/>
      <c r="I139" s="6" t="n"/>
    </row>
    <row r="140">
      <c r="A140" s="5" t="inlineStr">
        <is>
          <t>SOC2-A</t>
        </is>
      </c>
      <c r="B140" s="5" t="inlineStr">
        <is>
          <t>Pró-labore x dividendos (real)</t>
        </is>
      </c>
      <c r="C140" s="6" t="inlineStr">
        <is>
          <t>retirada R$ 30.000,00/mês; 100% pró-labore</t>
        </is>
      </c>
      <c r="D140" s="5" t="inlineStr">
        <is>
          <t>Economia de IRPJ/CSLL (Lucro Real)</t>
        </is>
      </c>
      <c r="E140" s="7" t="n">
        <v>-12240</v>
      </c>
      <c r="F140" s="8" t="n"/>
      <c r="G140" s="7">
        <f>IF(F140="","",E140-F140)</f>
        <v/>
      </c>
      <c r="H140" s="5" t="n"/>
      <c r="I140" s="6" t="n"/>
    </row>
    <row r="141">
      <c r="A141" s="9" t="inlineStr">
        <is>
          <t>SOC2-A</t>
        </is>
      </c>
      <c r="B141" s="9" t="inlineStr">
        <is>
          <t>Pró-labore x dividendos (real)</t>
        </is>
      </c>
      <c r="C141" s="10" t="inlineStr">
        <is>
          <t>retirada R$ 30.000,00/mês; 100% pró-labore</t>
        </is>
      </c>
      <c r="D141" s="9" t="inlineStr">
        <is>
          <t>TOTAL</t>
        </is>
      </c>
      <c r="E141" s="11">
        <f>SUM(E137:E140)</f>
        <v/>
      </c>
      <c r="F141" s="12" t="n"/>
      <c r="G141" s="11">
        <f>IF(F141="","",E141-F141)</f>
        <v/>
      </c>
      <c r="H141" s="9" t="n"/>
      <c r="I141" s="10" t="n"/>
    </row>
    <row r="142">
      <c r="A142" s="13" t="inlineStr">
        <is>
          <t>SOC2-B</t>
        </is>
      </c>
      <c r="B142" s="13" t="inlineStr">
        <is>
          <t>Pró-labore x dividendos (real)</t>
        </is>
      </c>
      <c r="C142" s="14" t="inlineStr">
        <is>
          <t>retirada R$ 30.000,00/mês; Pró-labore de R$ 1.621,00 + dividendos</t>
        </is>
      </c>
      <c r="D142" s="13" t="inlineStr">
        <is>
          <t>INSS do sócio (11%)</t>
        </is>
      </c>
      <c r="E142" s="15" t="n">
        <v>178.31</v>
      </c>
      <c r="F142" s="8" t="n"/>
      <c r="G142" s="15">
        <f>IF(F142="","",E142-F142)</f>
        <v/>
      </c>
      <c r="H142" s="13" t="n"/>
      <c r="I142" s="14" t="n"/>
    </row>
    <row r="143">
      <c r="A143" s="13" t="inlineStr">
        <is>
          <t>SOC2-B</t>
        </is>
      </c>
      <c r="B143" s="13" t="inlineStr">
        <is>
          <t>Pró-labore x dividendos (real)</t>
        </is>
      </c>
      <c r="C143" s="14" t="inlineStr">
        <is>
          <t>retirada R$ 30.000,00/mês; Pró-labore de R$ 1.621,00 + dividendos</t>
        </is>
      </c>
      <c r="D143" s="13" t="inlineStr">
        <is>
          <t>IRPF sobre pró-labore</t>
        </is>
      </c>
      <c r="E143" s="15" t="n">
        <v>0</v>
      </c>
      <c r="F143" s="8" t="n"/>
      <c r="G143" s="15">
        <f>IF(F143="","",E143-F143)</f>
        <v/>
      </c>
      <c r="H143" s="13" t="n"/>
      <c r="I143" s="14" t="n"/>
    </row>
    <row r="144">
      <c r="A144" s="13" t="inlineStr">
        <is>
          <t>SOC2-B</t>
        </is>
      </c>
      <c r="B144" s="13" t="inlineStr">
        <is>
          <t>Pró-labore x dividendos (real)</t>
        </is>
      </c>
      <c r="C144" s="14" t="inlineStr">
        <is>
          <t>retirada R$ 30.000,00/mês; Pró-labore de R$ 1.621,00 + dividendos</t>
        </is>
      </c>
      <c r="D144" s="13" t="inlineStr">
        <is>
          <t>INSS patronal (20%)</t>
        </is>
      </c>
      <c r="E144" s="15" t="n">
        <v>324.2</v>
      </c>
      <c r="F144" s="8" t="n"/>
      <c r="G144" s="15">
        <f>IF(F144="","",E144-F144)</f>
        <v/>
      </c>
      <c r="H144" s="13" t="n"/>
      <c r="I144" s="14" t="n"/>
    </row>
    <row r="145">
      <c r="A145" s="13" t="inlineStr">
        <is>
          <t>SOC2-B</t>
        </is>
      </c>
      <c r="B145" s="13" t="inlineStr">
        <is>
          <t>Pró-labore x dividendos (real)</t>
        </is>
      </c>
      <c r="C145" s="14" t="inlineStr">
        <is>
          <t>retirada R$ 30.000,00/mês; Pró-labore de R$ 1.621,00 + dividendos</t>
        </is>
      </c>
      <c r="D145" s="13" t="inlineStr">
        <is>
          <t>Economia de IRPJ/CSLL (Lucro Real)</t>
        </is>
      </c>
      <c r="E145" s="15" t="n">
        <v>-661.37</v>
      </c>
      <c r="F145" s="8" t="n"/>
      <c r="G145" s="15">
        <f>IF(F145="","",E145-F145)</f>
        <v/>
      </c>
      <c r="H145" s="13" t="n"/>
      <c r="I145" s="14" t="n"/>
    </row>
    <row r="146">
      <c r="A146" s="16" t="inlineStr">
        <is>
          <t>SOC2-B</t>
        </is>
      </c>
      <c r="B146" s="16" t="inlineStr">
        <is>
          <t>Pró-labore x dividendos (real)</t>
        </is>
      </c>
      <c r="C146" s="17" t="inlineStr">
        <is>
          <t>retirada R$ 30.000,00/mês; Pró-labore de R$ 1.621,00 + dividendos</t>
        </is>
      </c>
      <c r="D146" s="16" t="inlineStr">
        <is>
          <t>TOTAL</t>
        </is>
      </c>
      <c r="E146" s="18">
        <f>SUM(E142:E145)</f>
        <v/>
      </c>
      <c r="F146" s="12" t="n"/>
      <c r="G146" s="18">
        <f>IF(F146="","",E146-F146)</f>
        <v/>
      </c>
      <c r="H146" s="16" t="n"/>
      <c r="I146" s="17" t="n"/>
    </row>
    <row r="147">
      <c r="A147" s="5" t="inlineStr">
        <is>
          <t>SOC3-A</t>
        </is>
      </c>
      <c r="B147" s="5" t="inlineStr">
        <is>
          <t>Pró-labore x dividendos (presumido)</t>
        </is>
      </c>
      <c r="C147" s="6" t="inlineStr">
        <is>
          <t>retirada R$ 80.000,00/mês; 100% pró-labore</t>
        </is>
      </c>
      <c r="D147" s="5" t="inlineStr">
        <is>
          <t>INSS do sócio (11%)</t>
        </is>
      </c>
      <c r="E147" s="7" t="n">
        <v>932.3099999999999</v>
      </c>
      <c r="F147" s="8" t="n"/>
      <c r="G147" s="7">
        <f>IF(F147="","",E147-F147)</f>
        <v/>
      </c>
      <c r="H147" s="5" t="n"/>
      <c r="I147" s="6" t="n"/>
    </row>
    <row r="148">
      <c r="A148" s="5" t="inlineStr">
        <is>
          <t>SOC3-A</t>
        </is>
      </c>
      <c r="B148" s="5" t="inlineStr">
        <is>
          <t>Pró-labore x dividendos (presumido)</t>
        </is>
      </c>
      <c r="C148" s="6" t="inlineStr">
        <is>
          <t>retirada R$ 80.000,00/mês; 100% pró-labore</t>
        </is>
      </c>
      <c r="D148" s="5" t="inlineStr">
        <is>
          <t>IRPF sobre pró-labore</t>
        </is>
      </c>
      <c r="E148" s="7" t="n">
        <v>20834.88</v>
      </c>
      <c r="F148" s="8" t="n"/>
      <c r="G148" s="7">
        <f>IF(F148="","",E148-F148)</f>
        <v/>
      </c>
      <c r="H148" s="5" t="n"/>
      <c r="I148" s="6" t="n"/>
    </row>
    <row r="149">
      <c r="A149" s="5" t="inlineStr">
        <is>
          <t>SOC3-A</t>
        </is>
      </c>
      <c r="B149" s="5" t="inlineStr">
        <is>
          <t>Pró-labore x dividendos (presumido)</t>
        </is>
      </c>
      <c r="C149" s="6" t="inlineStr">
        <is>
          <t>retirada R$ 80.000,00/mês; 100% pró-labore</t>
        </is>
      </c>
      <c r="D149" s="5" t="inlineStr">
        <is>
          <t>INSS patronal (20%)</t>
        </is>
      </c>
      <c r="E149" s="7" t="n">
        <v>16000</v>
      </c>
      <c r="F149" s="8" t="n"/>
      <c r="G149" s="7">
        <f>IF(F149="","",E149-F149)</f>
        <v/>
      </c>
      <c r="H149" s="5" t="n"/>
      <c r="I149" s="6" t="n"/>
    </row>
    <row r="150">
      <c r="A150" s="9" t="inlineStr">
        <is>
          <t>SOC3-A</t>
        </is>
      </c>
      <c r="B150" s="9" t="inlineStr">
        <is>
          <t>Pró-labore x dividendos (presumido)</t>
        </is>
      </c>
      <c r="C150" s="10" t="inlineStr">
        <is>
          <t>retirada R$ 80.000,00/mês; 100% pró-labore</t>
        </is>
      </c>
      <c r="D150" s="9" t="inlineStr">
        <is>
          <t>TOTAL</t>
        </is>
      </c>
      <c r="E150" s="11">
        <f>SUM(E147:E149)</f>
        <v/>
      </c>
      <c r="F150" s="12" t="n"/>
      <c r="G150" s="11">
        <f>IF(F150="","",E150-F150)</f>
        <v/>
      </c>
      <c r="H150" s="9" t="n"/>
      <c r="I150" s="10" t="n"/>
    </row>
    <row r="151">
      <c r="A151" s="13" t="inlineStr">
        <is>
          <t>SOC3-B</t>
        </is>
      </c>
      <c r="B151" s="13" t="inlineStr">
        <is>
          <t>Pró-labore x dividendos (presumido)</t>
        </is>
      </c>
      <c r="C151" s="14" t="inlineStr">
        <is>
          <t>retirada R$ 80.000,00/mês; Pró-labore de R$ 1.621,00 + dividendos</t>
        </is>
      </c>
      <c r="D151" s="13" t="inlineStr">
        <is>
          <t>INSS do sócio (11%)</t>
        </is>
      </c>
      <c r="E151" s="15" t="n">
        <v>178.31</v>
      </c>
      <c r="F151" s="8" t="n"/>
      <c r="G151" s="15">
        <f>IF(F151="","",E151-F151)</f>
        <v/>
      </c>
      <c r="H151" s="13" t="n"/>
      <c r="I151" s="14" t="n"/>
    </row>
    <row r="152">
      <c r="A152" s="13" t="inlineStr">
        <is>
          <t>SOC3-B</t>
        </is>
      </c>
      <c r="B152" s="13" t="inlineStr">
        <is>
          <t>Pró-labore x dividendos (presumido)</t>
        </is>
      </c>
      <c r="C152" s="14" t="inlineStr">
        <is>
          <t>retirada R$ 80.000,00/mês; Pró-labore de R$ 1.621,00 + dividendos</t>
        </is>
      </c>
      <c r="D152" s="13" t="inlineStr">
        <is>
          <t>IRPF sobre pró-labore</t>
        </is>
      </c>
      <c r="E152" s="15" t="n">
        <v>0</v>
      </c>
      <c r="F152" s="8" t="n"/>
      <c r="G152" s="15">
        <f>IF(F152="","",E152-F152)</f>
        <v/>
      </c>
      <c r="H152" s="13" t="n"/>
      <c r="I152" s="14" t="n"/>
    </row>
    <row r="153">
      <c r="A153" s="13" t="inlineStr">
        <is>
          <t>SOC3-B</t>
        </is>
      </c>
      <c r="B153" s="13" t="inlineStr">
        <is>
          <t>Pró-labore x dividendos (presumido)</t>
        </is>
      </c>
      <c r="C153" s="14" t="inlineStr">
        <is>
          <t>retirada R$ 80.000,00/mês; Pró-labore de R$ 1.621,00 + dividendos</t>
        </is>
      </c>
      <c r="D153" s="13" t="inlineStr">
        <is>
          <t>INSS patronal (20%)</t>
        </is>
      </c>
      <c r="E153" s="15" t="n">
        <v>324.2</v>
      </c>
      <c r="F153" s="8" t="n"/>
      <c r="G153" s="15">
        <f>IF(F153="","",E153-F153)</f>
        <v/>
      </c>
      <c r="H153" s="13" t="n"/>
      <c r="I153" s="14" t="n"/>
    </row>
    <row r="154">
      <c r="A154" s="13" t="inlineStr">
        <is>
          <t>SOC3-B</t>
        </is>
      </c>
      <c r="B154" s="13" t="inlineStr">
        <is>
          <t>Pró-labore x dividendos (presumido)</t>
        </is>
      </c>
      <c r="C154" s="14" t="inlineStr">
        <is>
          <t>retirada R$ 80.000,00/mês; Pró-labore de R$ 1.621,00 + dividendos</t>
        </is>
      </c>
      <c r="D154" s="13" t="inlineStr">
        <is>
          <t>IRRF 10% sobre dividendos</t>
        </is>
      </c>
      <c r="E154" s="15" t="n">
        <v>7837.9</v>
      </c>
      <c r="F154" s="8" t="n"/>
      <c r="G154" s="15">
        <f>IF(F154="","",E154-F154)</f>
        <v/>
      </c>
      <c r="H154" s="13" t="n"/>
      <c r="I154" s="14" t="n"/>
    </row>
    <row r="155">
      <c r="A155" s="16" t="inlineStr">
        <is>
          <t>SOC3-B</t>
        </is>
      </c>
      <c r="B155" s="16" t="inlineStr">
        <is>
          <t>Pró-labore x dividendos (presumido)</t>
        </is>
      </c>
      <c r="C155" s="17" t="inlineStr">
        <is>
          <t>retirada R$ 80.000,00/mês; Pró-labore de R$ 1.621,00 + dividendos</t>
        </is>
      </c>
      <c r="D155" s="16" t="inlineStr">
        <is>
          <t>TOTAL</t>
        </is>
      </c>
      <c r="E155" s="18">
        <f>SUM(E151:E154)</f>
        <v/>
      </c>
      <c r="F155" s="12" t="n"/>
      <c r="G155" s="18">
        <f>IF(F155="","",E155-F155)</f>
        <v/>
      </c>
      <c r="H155" s="16" t="n"/>
      <c r="I155" s="17" t="n"/>
    </row>
    <row r="156">
      <c r="A156" s="5" t="inlineStr">
        <is>
          <t>RT1-2025</t>
        </is>
      </c>
      <c r="B156" s="5" t="inlineStr">
        <is>
          <t>Reforma - 2025</t>
        </is>
      </c>
      <c r="C156" s="6" t="inlineStr">
        <is>
          <t>Comércio no Presumido; receita R$ 2.000.000,00</t>
        </is>
      </c>
      <c r="D156" s="5" t="inlineStr">
        <is>
          <t>PIS/Cofins</t>
        </is>
      </c>
      <c r="E156" s="7" t="n">
        <v>73000</v>
      </c>
      <c r="F156" s="8" t="n"/>
      <c r="G156" s="7">
        <f>IF(F156="","",E156-F156)</f>
        <v/>
      </c>
      <c r="H156" s="5" t="n"/>
      <c r="I156" s="6" t="n"/>
    </row>
    <row r="157">
      <c r="A157" s="5" t="inlineStr">
        <is>
          <t>RT1-2025</t>
        </is>
      </c>
      <c r="B157" s="5" t="inlineStr">
        <is>
          <t>Reforma - 2025</t>
        </is>
      </c>
      <c r="C157" s="6" t="inlineStr">
        <is>
          <t>Comércio no Presumido; receita R$ 2.000.000,00</t>
        </is>
      </c>
      <c r="D157" s="5" t="inlineStr">
        <is>
          <t>ICMS</t>
        </is>
      </c>
      <c r="E157" s="7" t="n">
        <v>144000</v>
      </c>
      <c r="F157" s="8" t="n"/>
      <c r="G157" s="7">
        <f>IF(F157="","",E157-F157)</f>
        <v/>
      </c>
      <c r="H157" s="5" t="n"/>
      <c r="I157" s="6" t="n"/>
    </row>
    <row r="158">
      <c r="A158" s="9" t="inlineStr">
        <is>
          <t>RT1-2025</t>
        </is>
      </c>
      <c r="B158" s="9" t="inlineStr">
        <is>
          <t>Reforma - 2025</t>
        </is>
      </c>
      <c r="C158" s="10" t="inlineStr">
        <is>
          <t>Comércio no Presumido; receita R$ 2.000.000,00</t>
        </is>
      </c>
      <c r="D158" s="9" t="inlineStr">
        <is>
          <t>TOTAL</t>
        </is>
      </c>
      <c r="E158" s="11">
        <f>SUM(E156:E157)</f>
        <v/>
      </c>
      <c r="F158" s="12" t="n"/>
      <c r="G158" s="11">
        <f>IF(F158="","",E158-F158)</f>
        <v/>
      </c>
      <c r="H158" s="9" t="n"/>
      <c r="I158" s="10" t="n"/>
    </row>
    <row r="159">
      <c r="A159" s="13" t="inlineStr">
        <is>
          <t>RT1-2027</t>
        </is>
      </c>
      <c r="B159" s="13" t="inlineStr">
        <is>
          <t>Reforma - 2027</t>
        </is>
      </c>
      <c r="C159" s="14" t="inlineStr">
        <is>
          <t>Comércio no Presumido; receita R$ 2.000.000,00</t>
        </is>
      </c>
      <c r="D159" s="13" t="inlineStr">
        <is>
          <t>ICMS</t>
        </is>
      </c>
      <c r="E159" s="15" t="n">
        <v>144000</v>
      </c>
      <c r="F159" s="8" t="n"/>
      <c r="G159" s="15">
        <f>IF(F159="","",E159-F159)</f>
        <v/>
      </c>
      <c r="H159" s="13" t="n"/>
      <c r="I159" s="14" t="n"/>
    </row>
    <row r="160">
      <c r="A160" s="13" t="inlineStr">
        <is>
          <t>RT1-2027</t>
        </is>
      </c>
      <c r="B160" s="13" t="inlineStr">
        <is>
          <t>Reforma - 2027</t>
        </is>
      </c>
      <c r="C160" s="14" t="inlineStr">
        <is>
          <t>Comércio no Presumido; receita R$ 2.000.000,00</t>
        </is>
      </c>
      <c r="D160" s="13" t="inlineStr">
        <is>
          <t>CBS</t>
        </is>
      </c>
      <c r="E160" s="15" t="n">
        <v>60378</v>
      </c>
      <c r="F160" s="8" t="n"/>
      <c r="G160" s="15">
        <f>IF(F160="","",E160-F160)</f>
        <v/>
      </c>
      <c r="H160" s="13" t="n"/>
      <c r="I160" s="14" t="n"/>
    </row>
    <row r="161">
      <c r="A161" s="13" t="inlineStr">
        <is>
          <t>RT1-2027</t>
        </is>
      </c>
      <c r="B161" s="13" t="inlineStr">
        <is>
          <t>Reforma - 2027</t>
        </is>
      </c>
      <c r="C161" s="14" t="inlineStr">
        <is>
          <t>Comércio no Presumido; receita R$ 2.000.000,00</t>
        </is>
      </c>
      <c r="D161" s="13" t="inlineStr">
        <is>
          <t>IBS</t>
        </is>
      </c>
      <c r="E161" s="15" t="n">
        <v>694</v>
      </c>
      <c r="F161" s="8" t="n"/>
      <c r="G161" s="15">
        <f>IF(F161="","",E161-F161)</f>
        <v/>
      </c>
      <c r="H161" s="13" t="n"/>
      <c r="I161" s="14" t="n"/>
    </row>
    <row r="162">
      <c r="A162" s="16" t="inlineStr">
        <is>
          <t>RT1-2027</t>
        </is>
      </c>
      <c r="B162" s="16" t="inlineStr">
        <is>
          <t>Reforma - 2027</t>
        </is>
      </c>
      <c r="C162" s="17" t="inlineStr">
        <is>
          <t>Comércio no Presumido; receita R$ 2.000.000,00</t>
        </is>
      </c>
      <c r="D162" s="16" t="inlineStr">
        <is>
          <t>TOTAL</t>
        </is>
      </c>
      <c r="E162" s="18">
        <f>SUM(E159:E161)</f>
        <v/>
      </c>
      <c r="F162" s="12" t="n"/>
      <c r="G162" s="18">
        <f>IF(F162="","",E162-F162)</f>
        <v/>
      </c>
      <c r="H162" s="16" t="n"/>
      <c r="I162" s="17" t="n"/>
    </row>
    <row r="163">
      <c r="A163" s="5" t="inlineStr">
        <is>
          <t>RT1-2029</t>
        </is>
      </c>
      <c r="B163" s="5" t="inlineStr">
        <is>
          <t>Reforma - 2029</t>
        </is>
      </c>
      <c r="C163" s="6" t="inlineStr">
        <is>
          <t>Comércio no Presumido; receita R$ 2.000.000,00</t>
        </is>
      </c>
      <c r="D163" s="5" t="inlineStr">
        <is>
          <t>ICMS</t>
        </is>
      </c>
      <c r="E163" s="7" t="n">
        <v>129600</v>
      </c>
      <c r="F163" s="8" t="n"/>
      <c r="G163" s="7">
        <f>IF(F163="","",E163-F163)</f>
        <v/>
      </c>
      <c r="H163" s="5" t="n"/>
      <c r="I163" s="6" t="n"/>
    </row>
    <row r="164">
      <c r="A164" s="5" t="inlineStr">
        <is>
          <t>RT1-2029</t>
        </is>
      </c>
      <c r="B164" s="5" t="inlineStr">
        <is>
          <t>Reforma - 2029</t>
        </is>
      </c>
      <c r="C164" s="6" t="inlineStr">
        <is>
          <t>Comércio no Presumido; receita R$ 2.000.000,00</t>
        </is>
      </c>
      <c r="D164" s="5" t="inlineStr">
        <is>
          <t>CBS</t>
        </is>
      </c>
      <c r="E164" s="7" t="n">
        <v>61072</v>
      </c>
      <c r="F164" s="8" t="n"/>
      <c r="G164" s="7">
        <f>IF(F164="","",E164-F164)</f>
        <v/>
      </c>
      <c r="H164" s="5" t="n"/>
      <c r="I164" s="6" t="n"/>
    </row>
    <row r="165">
      <c r="A165" s="5" t="inlineStr">
        <is>
          <t>RT1-2029</t>
        </is>
      </c>
      <c r="B165" s="5" t="inlineStr">
        <is>
          <t>Reforma - 2029</t>
        </is>
      </c>
      <c r="C165" s="6" t="inlineStr">
        <is>
          <t>Comércio no Presumido; receita R$ 2.000.000,00</t>
        </is>
      </c>
      <c r="D165" s="5" t="inlineStr">
        <is>
          <t>IBS</t>
        </is>
      </c>
      <c r="E165" s="7" t="n">
        <v>12283.8</v>
      </c>
      <c r="F165" s="8" t="n"/>
      <c r="G165" s="7">
        <f>IF(F165="","",E165-F165)</f>
        <v/>
      </c>
      <c r="H165" s="5" t="n"/>
      <c r="I165" s="6" t="n"/>
    </row>
    <row r="166">
      <c r="A166" s="9" t="inlineStr">
        <is>
          <t>RT1-2029</t>
        </is>
      </c>
      <c r="B166" s="9" t="inlineStr">
        <is>
          <t>Reforma - 2029</t>
        </is>
      </c>
      <c r="C166" s="10" t="inlineStr">
        <is>
          <t>Comércio no Presumido; receita R$ 2.000.000,00</t>
        </is>
      </c>
      <c r="D166" s="9" t="inlineStr">
        <is>
          <t>TOTAL</t>
        </is>
      </c>
      <c r="E166" s="11">
        <f>SUM(E163:E165)</f>
        <v/>
      </c>
      <c r="F166" s="12" t="n"/>
      <c r="G166" s="11">
        <f>IF(F166="","",E166-F166)</f>
        <v/>
      </c>
      <c r="H166" s="9" t="n"/>
      <c r="I166" s="10" t="n"/>
    </row>
    <row r="167">
      <c r="A167" s="13" t="inlineStr">
        <is>
          <t>RT1-2033</t>
        </is>
      </c>
      <c r="B167" s="13" t="inlineStr">
        <is>
          <t>Reforma - 2033</t>
        </is>
      </c>
      <c r="C167" s="14" t="inlineStr">
        <is>
          <t>Comércio no Presumido; receita R$ 2.000.000,00</t>
        </is>
      </c>
      <c r="D167" s="13" t="inlineStr">
        <is>
          <t>CBS</t>
        </is>
      </c>
      <c r="E167" s="15" t="n">
        <v>61072</v>
      </c>
      <c r="F167" s="8" t="n"/>
      <c r="G167" s="15">
        <f>IF(F167="","",E167-F167)</f>
        <v/>
      </c>
      <c r="H167" s="13" t="n"/>
      <c r="I167" s="14" t="n"/>
    </row>
    <row r="168">
      <c r="A168" s="13" t="inlineStr">
        <is>
          <t>RT1-2033</t>
        </is>
      </c>
      <c r="B168" s="13" t="inlineStr">
        <is>
          <t>Reforma - 2033</t>
        </is>
      </c>
      <c r="C168" s="14" t="inlineStr">
        <is>
          <t>Comércio no Presumido; receita R$ 2.000.000,00</t>
        </is>
      </c>
      <c r="D168" s="13" t="inlineStr">
        <is>
          <t>IBS</t>
        </is>
      </c>
      <c r="E168" s="15" t="n">
        <v>122838</v>
      </c>
      <c r="F168" s="8" t="n"/>
      <c r="G168" s="15">
        <f>IF(F168="","",E168-F168)</f>
        <v/>
      </c>
      <c r="H168" s="13" t="n"/>
      <c r="I168" s="14" t="n"/>
    </row>
    <row r="169">
      <c r="A169" s="16" t="inlineStr">
        <is>
          <t>RT1-2033</t>
        </is>
      </c>
      <c r="B169" s="16" t="inlineStr">
        <is>
          <t>Reforma - 2033</t>
        </is>
      </c>
      <c r="C169" s="17" t="inlineStr">
        <is>
          <t>Comércio no Presumido; receita R$ 2.000.000,00</t>
        </is>
      </c>
      <c r="D169" s="16" t="inlineStr">
        <is>
          <t>TOTAL</t>
        </is>
      </c>
      <c r="E169" s="18">
        <f>SUM(E167:E168)</f>
        <v/>
      </c>
      <c r="F169" s="12" t="n"/>
      <c r="G169" s="18">
        <f>IF(F169="","",E169-F169)</f>
        <v/>
      </c>
      <c r="H169" s="16" t="n"/>
      <c r="I169" s="17" t="n"/>
    </row>
    <row r="170">
      <c r="A170" s="5" t="inlineStr">
        <is>
          <t>RT2-2025</t>
        </is>
      </c>
      <c r="B170" s="5" t="inlineStr">
        <is>
          <t>Reforma - 2025</t>
        </is>
      </c>
      <c r="C170" s="6" t="inlineStr">
        <is>
          <t>Serviços (consultoria) no Presumido; receita R$ 1.200.000,00</t>
        </is>
      </c>
      <c r="D170" s="5" t="inlineStr">
        <is>
          <t>PIS/Cofins</t>
        </is>
      </c>
      <c r="E170" s="7" t="n">
        <v>43800</v>
      </c>
      <c r="F170" s="8" t="n"/>
      <c r="G170" s="7">
        <f>IF(F170="","",E170-F170)</f>
        <v/>
      </c>
      <c r="H170" s="5" t="n"/>
      <c r="I170" s="6" t="n"/>
    </row>
    <row r="171">
      <c r="A171" s="5" t="inlineStr">
        <is>
          <t>RT2-2025</t>
        </is>
      </c>
      <c r="B171" s="5" t="inlineStr">
        <is>
          <t>Reforma - 2025</t>
        </is>
      </c>
      <c r="C171" s="6" t="inlineStr">
        <is>
          <t>Serviços (consultoria) no Presumido; receita R$ 1.200.000,00</t>
        </is>
      </c>
      <c r="D171" s="5" t="inlineStr">
        <is>
          <t>ISS</t>
        </is>
      </c>
      <c r="E171" s="7" t="n">
        <v>60000</v>
      </c>
      <c r="F171" s="8" t="n"/>
      <c r="G171" s="7">
        <f>IF(F171="","",E171-F171)</f>
        <v/>
      </c>
      <c r="H171" s="5" t="n"/>
      <c r="I171" s="6" t="n"/>
    </row>
    <row r="172">
      <c r="A172" s="9" t="inlineStr">
        <is>
          <t>RT2-2025</t>
        </is>
      </c>
      <c r="B172" s="9" t="inlineStr">
        <is>
          <t>Reforma - 2025</t>
        </is>
      </c>
      <c r="C172" s="10" t="inlineStr">
        <is>
          <t>Serviços (consultoria) no Presumido; receita R$ 1.200.000,00</t>
        </is>
      </c>
      <c r="D172" s="9" t="inlineStr">
        <is>
          <t>TOTAL</t>
        </is>
      </c>
      <c r="E172" s="11">
        <f>SUM(E170:E171)</f>
        <v/>
      </c>
      <c r="F172" s="12" t="n"/>
      <c r="G172" s="11">
        <f>IF(F172="","",E172-F172)</f>
        <v/>
      </c>
      <c r="H172" s="9" t="n"/>
      <c r="I172" s="10" t="n"/>
    </row>
    <row r="173">
      <c r="A173" s="13" t="inlineStr">
        <is>
          <t>RT2-2027</t>
        </is>
      </c>
      <c r="B173" s="13" t="inlineStr">
        <is>
          <t>Reforma - 2027</t>
        </is>
      </c>
      <c r="C173" s="14" t="inlineStr">
        <is>
          <t>Serviços (consultoria) no Presumido; receita R$ 1.200.000,00</t>
        </is>
      </c>
      <c r="D173" s="13" t="inlineStr">
        <is>
          <t>ISS</t>
        </is>
      </c>
      <c r="E173" s="15" t="n">
        <v>60000</v>
      </c>
      <c r="F173" s="8" t="n"/>
      <c r="G173" s="15">
        <f>IF(F173="","",E173-F173)</f>
        <v/>
      </c>
      <c r="H173" s="13" t="n"/>
      <c r="I173" s="14" t="n"/>
    </row>
    <row r="174">
      <c r="A174" s="13" t="inlineStr">
        <is>
          <t>RT2-2027</t>
        </is>
      </c>
      <c r="B174" s="13" t="inlineStr">
        <is>
          <t>Reforma - 2027</t>
        </is>
      </c>
      <c r="C174" s="14" t="inlineStr">
        <is>
          <t>Serviços (consultoria) no Presumido; receita R$ 1.200.000,00</t>
        </is>
      </c>
      <c r="D174" s="13" t="inlineStr">
        <is>
          <t>CBS</t>
        </is>
      </c>
      <c r="E174" s="15" t="n">
        <v>85895.10000000001</v>
      </c>
      <c r="F174" s="8" t="n"/>
      <c r="G174" s="15">
        <f>IF(F174="","",E174-F174)</f>
        <v/>
      </c>
      <c r="H174" s="13" t="n"/>
      <c r="I174" s="14" t="n"/>
    </row>
    <row r="175">
      <c r="A175" s="13" t="inlineStr">
        <is>
          <t>RT2-2027</t>
        </is>
      </c>
      <c r="B175" s="13" t="inlineStr">
        <is>
          <t>Reforma - 2027</t>
        </is>
      </c>
      <c r="C175" s="14" t="inlineStr">
        <is>
          <t>Serviços (consultoria) no Presumido; receita R$ 1.200.000,00</t>
        </is>
      </c>
      <c r="D175" s="13" t="inlineStr">
        <is>
          <t>IBS</t>
        </is>
      </c>
      <c r="E175" s="15" t="n">
        <v>987.3</v>
      </c>
      <c r="F175" s="8" t="n"/>
      <c r="G175" s="15">
        <f>IF(F175="","",E175-F175)</f>
        <v/>
      </c>
      <c r="H175" s="13" t="n"/>
      <c r="I175" s="14" t="n"/>
    </row>
    <row r="176">
      <c r="A176" s="16" t="inlineStr">
        <is>
          <t>RT2-2027</t>
        </is>
      </c>
      <c r="B176" s="16" t="inlineStr">
        <is>
          <t>Reforma - 2027</t>
        </is>
      </c>
      <c r="C176" s="17" t="inlineStr">
        <is>
          <t>Serviços (consultoria) no Presumido; receita R$ 1.200.000,00</t>
        </is>
      </c>
      <c r="D176" s="16" t="inlineStr">
        <is>
          <t>TOTAL</t>
        </is>
      </c>
      <c r="E176" s="18">
        <f>SUM(E173:E175)</f>
        <v/>
      </c>
      <c r="F176" s="12" t="n"/>
      <c r="G176" s="18">
        <f>IF(F176="","",E176-F176)</f>
        <v/>
      </c>
      <c r="H176" s="16" t="n"/>
      <c r="I176" s="17" t="n"/>
    </row>
    <row r="177">
      <c r="A177" s="5" t="inlineStr">
        <is>
          <t>RT2-2029</t>
        </is>
      </c>
      <c r="B177" s="5" t="inlineStr">
        <is>
          <t>Reforma - 2029</t>
        </is>
      </c>
      <c r="C177" s="6" t="inlineStr">
        <is>
          <t>Serviços (consultoria) no Presumido; receita R$ 1.200.000,00</t>
        </is>
      </c>
      <c r="D177" s="5" t="inlineStr">
        <is>
          <t>ISS</t>
        </is>
      </c>
      <c r="E177" s="7" t="n">
        <v>54000</v>
      </c>
      <c r="F177" s="8" t="n"/>
      <c r="G177" s="7">
        <f>IF(F177="","",E177-F177)</f>
        <v/>
      </c>
      <c r="H177" s="5" t="n"/>
      <c r="I177" s="6" t="n"/>
    </row>
    <row r="178">
      <c r="A178" s="5" t="inlineStr">
        <is>
          <t>RT2-2029</t>
        </is>
      </c>
      <c r="B178" s="5" t="inlineStr">
        <is>
          <t>Reforma - 2029</t>
        </is>
      </c>
      <c r="C178" s="6" t="inlineStr">
        <is>
          <t>Serviços (consultoria) no Presumido; receita R$ 1.200.000,00</t>
        </is>
      </c>
      <c r="D178" s="5" t="inlineStr">
        <is>
          <t>CBS</t>
        </is>
      </c>
      <c r="E178" s="7" t="n">
        <v>86882.39999999999</v>
      </c>
      <c r="F178" s="8" t="n"/>
      <c r="G178" s="7">
        <f>IF(F178="","",E178-F178)</f>
        <v/>
      </c>
      <c r="H178" s="5" t="n"/>
      <c r="I178" s="6" t="n"/>
    </row>
    <row r="179">
      <c r="A179" s="5" t="inlineStr">
        <is>
          <t>RT2-2029</t>
        </is>
      </c>
      <c r="B179" s="5" t="inlineStr">
        <is>
          <t>Reforma - 2029</t>
        </is>
      </c>
      <c r="C179" s="6" t="inlineStr">
        <is>
          <t>Serviços (consultoria) no Presumido; receita R$ 1.200.000,00</t>
        </is>
      </c>
      <c r="D179" s="5" t="inlineStr">
        <is>
          <t>IBS</t>
        </is>
      </c>
      <c r="E179" s="7" t="n">
        <v>17475.21</v>
      </c>
      <c r="F179" s="8" t="n"/>
      <c r="G179" s="7">
        <f>IF(F179="","",E179-F179)</f>
        <v/>
      </c>
      <c r="H179" s="5" t="n"/>
      <c r="I179" s="6" t="n"/>
    </row>
    <row r="180">
      <c r="A180" s="9" t="inlineStr">
        <is>
          <t>RT2-2029</t>
        </is>
      </c>
      <c r="B180" s="9" t="inlineStr">
        <is>
          <t>Reforma - 2029</t>
        </is>
      </c>
      <c r="C180" s="10" t="inlineStr">
        <is>
          <t>Serviços (consultoria) no Presumido; receita R$ 1.200.000,00</t>
        </is>
      </c>
      <c r="D180" s="9" t="inlineStr">
        <is>
          <t>TOTAL</t>
        </is>
      </c>
      <c r="E180" s="11">
        <f>SUM(E177:E179)</f>
        <v/>
      </c>
      <c r="F180" s="12" t="n"/>
      <c r="G180" s="11">
        <f>IF(F180="","",E180-F180)</f>
        <v/>
      </c>
      <c r="H180" s="9" t="n"/>
      <c r="I180" s="10" t="n"/>
    </row>
    <row r="181">
      <c r="A181" s="13" t="inlineStr">
        <is>
          <t>RT2-2033</t>
        </is>
      </c>
      <c r="B181" s="13" t="inlineStr">
        <is>
          <t>Reforma - 2033</t>
        </is>
      </c>
      <c r="C181" s="14" t="inlineStr">
        <is>
          <t>Serviços (consultoria) no Presumido; receita R$ 1.200.000,00</t>
        </is>
      </c>
      <c r="D181" s="13" t="inlineStr">
        <is>
          <t>CBS</t>
        </is>
      </c>
      <c r="E181" s="15" t="n">
        <v>86882.39999999999</v>
      </c>
      <c r="F181" s="8" t="n"/>
      <c r="G181" s="15">
        <f>IF(F181="","",E181-F181)</f>
        <v/>
      </c>
      <c r="H181" s="13" t="n"/>
      <c r="I181" s="14" t="n"/>
    </row>
    <row r="182">
      <c r="A182" s="13" t="inlineStr">
        <is>
          <t>RT2-2033</t>
        </is>
      </c>
      <c r="B182" s="13" t="inlineStr">
        <is>
          <t>Reforma - 2033</t>
        </is>
      </c>
      <c r="C182" s="14" t="inlineStr">
        <is>
          <t>Serviços (consultoria) no Presumido; receita R$ 1.200.000,00</t>
        </is>
      </c>
      <c r="D182" s="13" t="inlineStr">
        <is>
          <t>IBS</t>
        </is>
      </c>
      <c r="E182" s="15" t="n">
        <v>174752.1</v>
      </c>
      <c r="F182" s="8" t="n"/>
      <c r="G182" s="15">
        <f>IF(F182="","",E182-F182)</f>
        <v/>
      </c>
      <c r="H182" s="13" t="n"/>
      <c r="I182" s="14" t="n"/>
    </row>
    <row r="183">
      <c r="A183" s="16" t="inlineStr">
        <is>
          <t>RT2-2033</t>
        </is>
      </c>
      <c r="B183" s="16" t="inlineStr">
        <is>
          <t>Reforma - 2033</t>
        </is>
      </c>
      <c r="C183" s="17" t="inlineStr">
        <is>
          <t>Serviços (consultoria) no Presumido; receita R$ 1.200.000,00</t>
        </is>
      </c>
      <c r="D183" s="16" t="inlineStr">
        <is>
          <t>TOTAL</t>
        </is>
      </c>
      <c r="E183" s="18">
        <f>SUM(E181:E182)</f>
        <v/>
      </c>
      <c r="F183" s="12" t="n"/>
      <c r="G183" s="18">
        <f>IF(F183="","",E183-F183)</f>
        <v/>
      </c>
      <c r="H183" s="16" t="n"/>
      <c r="I183" s="17" t="n"/>
    </row>
    <row r="184">
      <c r="A184" s="5" t="inlineStr">
        <is>
          <t>RT3-2025</t>
        </is>
      </c>
      <c r="B184" s="5" t="inlineStr">
        <is>
          <t>Reforma - 2025</t>
        </is>
      </c>
      <c r="C184" s="6" t="inlineStr">
        <is>
          <t>Escritório contábil (redução de 30%); receita R$ 600.000,00</t>
        </is>
      </c>
      <c r="D184" s="5" t="inlineStr">
        <is>
          <t>PIS/Cofins</t>
        </is>
      </c>
      <c r="E184" s="7" t="n">
        <v>21900</v>
      </c>
      <c r="F184" s="8" t="n"/>
      <c r="G184" s="7">
        <f>IF(F184="","",E184-F184)</f>
        <v/>
      </c>
      <c r="H184" s="5" t="n"/>
      <c r="I184" s="6" t="n"/>
    </row>
    <row r="185">
      <c r="A185" s="5" t="inlineStr">
        <is>
          <t>RT3-2025</t>
        </is>
      </c>
      <c r="B185" s="5" t="inlineStr">
        <is>
          <t>Reforma - 2025</t>
        </is>
      </c>
      <c r="C185" s="6" t="inlineStr">
        <is>
          <t>Escritório contábil (redução de 30%); receita R$ 600.000,00</t>
        </is>
      </c>
      <c r="D185" s="5" t="inlineStr">
        <is>
          <t>ISS</t>
        </is>
      </c>
      <c r="E185" s="7" t="n">
        <v>30000</v>
      </c>
      <c r="F185" s="8" t="n"/>
      <c r="G185" s="7">
        <f>IF(F185="","",E185-F185)</f>
        <v/>
      </c>
      <c r="H185" s="5" t="n"/>
      <c r="I185" s="6" t="n"/>
    </row>
    <row r="186">
      <c r="A186" s="9" t="inlineStr">
        <is>
          <t>RT3-2025</t>
        </is>
      </c>
      <c r="B186" s="9" t="inlineStr">
        <is>
          <t>Reforma - 2025</t>
        </is>
      </c>
      <c r="C186" s="10" t="inlineStr">
        <is>
          <t>Escritório contábil (redução de 30%); receita R$ 600.000,00</t>
        </is>
      </c>
      <c r="D186" s="9" t="inlineStr">
        <is>
          <t>TOTAL</t>
        </is>
      </c>
      <c r="E186" s="11">
        <f>SUM(E184:E185)</f>
        <v/>
      </c>
      <c r="F186" s="12" t="n"/>
      <c r="G186" s="11">
        <f>IF(F186="","",E186-F186)</f>
        <v/>
      </c>
      <c r="H186" s="9" t="n"/>
      <c r="I186" s="10" t="n"/>
    </row>
    <row r="187">
      <c r="A187" s="13" t="inlineStr">
        <is>
          <t>RT3-2027</t>
        </is>
      </c>
      <c r="B187" s="13" t="inlineStr">
        <is>
          <t>Reforma - 2027</t>
        </is>
      </c>
      <c r="C187" s="14" t="inlineStr">
        <is>
          <t>Escritório contábil (redução de 30%); receita R$ 600.000,00</t>
        </is>
      </c>
      <c r="D187" s="13" t="inlineStr">
        <is>
          <t>ISS</t>
        </is>
      </c>
      <c r="E187" s="15" t="n">
        <v>30000</v>
      </c>
      <c r="F187" s="8" t="n"/>
      <c r="G187" s="15">
        <f>IF(F187="","",E187-F187)</f>
        <v/>
      </c>
      <c r="H187" s="13" t="n"/>
      <c r="I187" s="14" t="n"/>
    </row>
    <row r="188">
      <c r="A188" s="13" t="inlineStr">
        <is>
          <t>RT3-2027</t>
        </is>
      </c>
      <c r="B188" s="13" t="inlineStr">
        <is>
          <t>Reforma - 2027</t>
        </is>
      </c>
      <c r="C188" s="14" t="inlineStr">
        <is>
          <t>Escritório contábil (redução de 30%); receita R$ 600.000,00</t>
        </is>
      </c>
      <c r="D188" s="13" t="inlineStr">
        <is>
          <t>CBS</t>
        </is>
      </c>
      <c r="E188" s="15" t="n">
        <v>28642.14</v>
      </c>
      <c r="F188" s="8" t="n"/>
      <c r="G188" s="15">
        <f>IF(F188="","",E188-F188)</f>
        <v/>
      </c>
      <c r="H188" s="13" t="n"/>
      <c r="I188" s="14" t="n"/>
    </row>
    <row r="189">
      <c r="A189" s="13" t="inlineStr">
        <is>
          <t>RT3-2027</t>
        </is>
      </c>
      <c r="B189" s="13" t="inlineStr">
        <is>
          <t>Reforma - 2027</t>
        </is>
      </c>
      <c r="C189" s="14" t="inlineStr">
        <is>
          <t>Escritório contábil (redução de 30%); receita R$ 600.000,00</t>
        </is>
      </c>
      <c r="D189" s="13" t="inlineStr">
        <is>
          <t>IBS</t>
        </is>
      </c>
      <c r="E189" s="15" t="n">
        <v>329.22</v>
      </c>
      <c r="F189" s="8" t="n"/>
      <c r="G189" s="15">
        <f>IF(F189="","",E189-F189)</f>
        <v/>
      </c>
      <c r="H189" s="13" t="n"/>
      <c r="I189" s="14" t="n"/>
    </row>
    <row r="190">
      <c r="A190" s="16" t="inlineStr">
        <is>
          <t>RT3-2027</t>
        </is>
      </c>
      <c r="B190" s="16" t="inlineStr">
        <is>
          <t>Reforma - 2027</t>
        </is>
      </c>
      <c r="C190" s="17" t="inlineStr">
        <is>
          <t>Escritório contábil (redução de 30%); receita R$ 600.000,00</t>
        </is>
      </c>
      <c r="D190" s="16" t="inlineStr">
        <is>
          <t>TOTAL</t>
        </is>
      </c>
      <c r="E190" s="18">
        <f>SUM(E187:E189)</f>
        <v/>
      </c>
      <c r="F190" s="12" t="n"/>
      <c r="G190" s="18">
        <f>IF(F190="","",E190-F190)</f>
        <v/>
      </c>
      <c r="H190" s="16" t="n"/>
      <c r="I190" s="17" t="n"/>
    </row>
    <row r="191">
      <c r="A191" s="5" t="inlineStr">
        <is>
          <t>RT3-2029</t>
        </is>
      </c>
      <c r="B191" s="5" t="inlineStr">
        <is>
          <t>Reforma - 2029</t>
        </is>
      </c>
      <c r="C191" s="6" t="inlineStr">
        <is>
          <t>Escritório contábil (redução de 30%); receita R$ 600.000,00</t>
        </is>
      </c>
      <c r="D191" s="5" t="inlineStr">
        <is>
          <t>ISS</t>
        </is>
      </c>
      <c r="E191" s="7" t="n">
        <v>27000</v>
      </c>
      <c r="F191" s="8" t="n"/>
      <c r="G191" s="7">
        <f>IF(F191="","",E191-F191)</f>
        <v/>
      </c>
      <c r="H191" s="5" t="n"/>
      <c r="I191" s="6" t="n"/>
    </row>
    <row r="192">
      <c r="A192" s="5" t="inlineStr">
        <is>
          <t>RT3-2029</t>
        </is>
      </c>
      <c r="B192" s="5" t="inlineStr">
        <is>
          <t>Reforma - 2029</t>
        </is>
      </c>
      <c r="C192" s="6" t="inlineStr">
        <is>
          <t>Escritório contábil (redução de 30%); receita R$ 600.000,00</t>
        </is>
      </c>
      <c r="D192" s="5" t="inlineStr">
        <is>
          <t>CBS</t>
        </is>
      </c>
      <c r="E192" s="7" t="n">
        <v>28971.36</v>
      </c>
      <c r="F192" s="8" t="n"/>
      <c r="G192" s="7">
        <f>IF(F192="","",E192-F192)</f>
        <v/>
      </c>
      <c r="H192" s="5" t="n"/>
      <c r="I192" s="6" t="n"/>
    </row>
    <row r="193">
      <c r="A193" s="5" t="inlineStr">
        <is>
          <t>RT3-2029</t>
        </is>
      </c>
      <c r="B193" s="5" t="inlineStr">
        <is>
          <t>Reforma - 2029</t>
        </is>
      </c>
      <c r="C193" s="6" t="inlineStr">
        <is>
          <t>Escritório contábil (redução de 30%); receita R$ 600.000,00</t>
        </is>
      </c>
      <c r="D193" s="5" t="inlineStr">
        <is>
          <t>IBS</t>
        </is>
      </c>
      <c r="E193" s="7" t="n">
        <v>5827.19</v>
      </c>
      <c r="F193" s="8" t="n"/>
      <c r="G193" s="7">
        <f>IF(F193="","",E193-F193)</f>
        <v/>
      </c>
      <c r="H193" s="5" t="n"/>
      <c r="I193" s="6" t="n"/>
    </row>
    <row r="194">
      <c r="A194" s="9" t="inlineStr">
        <is>
          <t>RT3-2029</t>
        </is>
      </c>
      <c r="B194" s="9" t="inlineStr">
        <is>
          <t>Reforma - 2029</t>
        </is>
      </c>
      <c r="C194" s="10" t="inlineStr">
        <is>
          <t>Escritório contábil (redução de 30%); receita R$ 600.000,00</t>
        </is>
      </c>
      <c r="D194" s="9" t="inlineStr">
        <is>
          <t>TOTAL</t>
        </is>
      </c>
      <c r="E194" s="11">
        <f>SUM(E191:E193)</f>
        <v/>
      </c>
      <c r="F194" s="12" t="n"/>
      <c r="G194" s="11">
        <f>IF(F194="","",E194-F194)</f>
        <v/>
      </c>
      <c r="H194" s="9" t="n"/>
      <c r="I194" s="10" t="n"/>
    </row>
    <row r="195">
      <c r="A195" s="13" t="inlineStr">
        <is>
          <t>RT3-2033</t>
        </is>
      </c>
      <c r="B195" s="13" t="inlineStr">
        <is>
          <t>Reforma - 2033</t>
        </is>
      </c>
      <c r="C195" s="14" t="inlineStr">
        <is>
          <t>Escritório contábil (redução de 30%); receita R$ 600.000,00</t>
        </is>
      </c>
      <c r="D195" s="13" t="inlineStr">
        <is>
          <t>CBS</t>
        </is>
      </c>
      <c r="E195" s="15" t="n">
        <v>28971.36</v>
      </c>
      <c r="F195" s="8" t="n"/>
      <c r="G195" s="15">
        <f>IF(F195="","",E195-F195)</f>
        <v/>
      </c>
      <c r="H195" s="13" t="n"/>
      <c r="I195" s="14" t="n"/>
    </row>
    <row r="196">
      <c r="A196" s="13" t="inlineStr">
        <is>
          <t>RT3-2033</t>
        </is>
      </c>
      <c r="B196" s="13" t="inlineStr">
        <is>
          <t>Reforma - 2033</t>
        </is>
      </c>
      <c r="C196" s="14" t="inlineStr">
        <is>
          <t>Escritório contábil (redução de 30%); receita R$ 600.000,00</t>
        </is>
      </c>
      <c r="D196" s="13" t="inlineStr">
        <is>
          <t>IBS</t>
        </is>
      </c>
      <c r="E196" s="15" t="n">
        <v>58271.94</v>
      </c>
      <c r="F196" s="8" t="n"/>
      <c r="G196" s="15">
        <f>IF(F196="","",E196-F196)</f>
        <v/>
      </c>
      <c r="H196" s="13" t="n"/>
      <c r="I196" s="14" t="n"/>
    </row>
    <row r="197">
      <c r="A197" s="16" t="inlineStr">
        <is>
          <t>RT3-2033</t>
        </is>
      </c>
      <c r="B197" s="16" t="inlineStr">
        <is>
          <t>Reforma - 2033</t>
        </is>
      </c>
      <c r="C197" s="17" t="inlineStr">
        <is>
          <t>Escritório contábil (redução de 30%); receita R$ 600.000,00</t>
        </is>
      </c>
      <c r="D197" s="16" t="inlineStr">
        <is>
          <t>TOTAL</t>
        </is>
      </c>
      <c r="E197" s="18">
        <f>SUM(E195:E196)</f>
        <v/>
      </c>
      <c r="F197" s="12" t="n"/>
      <c r="G197" s="18">
        <f>IF(F197="","",E197-F197)</f>
        <v/>
      </c>
      <c r="H197" s="16" t="n"/>
      <c r="I197" s="17" t="n"/>
    </row>
    <row r="198">
      <c r="A198" s="5" t="inlineStr">
        <is>
          <t>RT4-2025</t>
        </is>
      </c>
      <c r="B198" s="5" t="inlineStr">
        <is>
          <t>Reforma - 2025</t>
        </is>
      </c>
      <c r="C198" s="6" t="inlineStr">
        <is>
          <t>Indústria no Lucro Real; receita R$ 3.000.000,00</t>
        </is>
      </c>
      <c r="D198" s="5" t="inlineStr">
        <is>
          <t>PIS/Cofins</t>
        </is>
      </c>
      <c r="E198" s="7" t="n">
        <v>120250</v>
      </c>
      <c r="F198" s="8" t="n"/>
      <c r="G198" s="7">
        <f>IF(F198="","",E198-F198)</f>
        <v/>
      </c>
      <c r="H198" s="5" t="n"/>
      <c r="I198" s="6" t="n"/>
    </row>
    <row r="199">
      <c r="A199" s="5" t="inlineStr">
        <is>
          <t>RT4-2025</t>
        </is>
      </c>
      <c r="B199" s="5" t="inlineStr">
        <is>
          <t>Reforma - 2025</t>
        </is>
      </c>
      <c r="C199" s="6" t="inlineStr">
        <is>
          <t>Indústria no Lucro Real; receita R$ 3.000.000,00</t>
        </is>
      </c>
      <c r="D199" s="5" t="inlineStr">
        <is>
          <t>IPI</t>
        </is>
      </c>
      <c r="E199" s="7" t="n">
        <v>150000</v>
      </c>
      <c r="F199" s="8" t="n"/>
      <c r="G199" s="7">
        <f>IF(F199="","",E199-F199)</f>
        <v/>
      </c>
      <c r="H199" s="5" t="n"/>
      <c r="I199" s="6" t="n"/>
    </row>
    <row r="200">
      <c r="A200" s="5" t="inlineStr">
        <is>
          <t>RT4-2025</t>
        </is>
      </c>
      <c r="B200" s="5" t="inlineStr">
        <is>
          <t>Reforma - 2025</t>
        </is>
      </c>
      <c r="C200" s="6" t="inlineStr">
        <is>
          <t>Indústria no Lucro Real; receita R$ 3.000.000,00</t>
        </is>
      </c>
      <c r="D200" s="5" t="inlineStr">
        <is>
          <t>ICMS</t>
        </is>
      </c>
      <c r="E200" s="7" t="n">
        <v>270000</v>
      </c>
      <c r="F200" s="8" t="n"/>
      <c r="G200" s="7">
        <f>IF(F200="","",E200-F200)</f>
        <v/>
      </c>
      <c r="H200" s="5" t="n"/>
      <c r="I200" s="6" t="n"/>
    </row>
    <row r="201">
      <c r="A201" s="9" t="inlineStr">
        <is>
          <t>RT4-2025</t>
        </is>
      </c>
      <c r="B201" s="9" t="inlineStr">
        <is>
          <t>Reforma - 2025</t>
        </is>
      </c>
      <c r="C201" s="10" t="inlineStr">
        <is>
          <t>Indústria no Lucro Real; receita R$ 3.000.000,00</t>
        </is>
      </c>
      <c r="D201" s="9" t="inlineStr">
        <is>
          <t>TOTAL</t>
        </is>
      </c>
      <c r="E201" s="11">
        <f>SUM(E198:E200)</f>
        <v/>
      </c>
      <c r="F201" s="12" t="n"/>
      <c r="G201" s="11">
        <f>IF(F201="","",E201-F201)</f>
        <v/>
      </c>
      <c r="H201" s="9" t="n"/>
      <c r="I201" s="10" t="n"/>
    </row>
    <row r="202">
      <c r="A202" s="13" t="inlineStr">
        <is>
          <t>RT4-2027</t>
        </is>
      </c>
      <c r="B202" s="13" t="inlineStr">
        <is>
          <t>Reforma - 2027</t>
        </is>
      </c>
      <c r="C202" s="14" t="inlineStr">
        <is>
          <t>Indústria no Lucro Real; receita R$ 3.000.000,00</t>
        </is>
      </c>
      <c r="D202" s="13" t="inlineStr">
        <is>
          <t>ICMS</t>
        </is>
      </c>
      <c r="E202" s="15" t="n">
        <v>270000</v>
      </c>
      <c r="F202" s="8" t="n"/>
      <c r="G202" s="15">
        <f>IF(F202="","",E202-F202)</f>
        <v/>
      </c>
      <c r="H202" s="13" t="n"/>
      <c r="I202" s="14" t="n"/>
    </row>
    <row r="203">
      <c r="A203" s="13" t="inlineStr">
        <is>
          <t>RT4-2027</t>
        </is>
      </c>
      <c r="B203" s="13" t="inlineStr">
        <is>
          <t>Reforma - 2027</t>
        </is>
      </c>
      <c r="C203" s="14" t="inlineStr">
        <is>
          <t>Indústria no Lucro Real; receita R$ 3.000.000,00</t>
        </is>
      </c>
      <c r="D203" s="13" t="inlineStr">
        <is>
          <t>CBS</t>
        </is>
      </c>
      <c r="E203" s="15" t="n">
        <v>82280.25</v>
      </c>
      <c r="F203" s="8" t="n"/>
      <c r="G203" s="15">
        <f>IF(F203="","",E203-F203)</f>
        <v/>
      </c>
      <c r="H203" s="13" t="n"/>
      <c r="I203" s="14" t="n"/>
    </row>
    <row r="204">
      <c r="A204" s="13" t="inlineStr">
        <is>
          <t>RT4-2027</t>
        </is>
      </c>
      <c r="B204" s="13" t="inlineStr">
        <is>
          <t>Reforma - 2027</t>
        </is>
      </c>
      <c r="C204" s="14" t="inlineStr">
        <is>
          <t>Indústria no Lucro Real; receita R$ 3.000.000,00</t>
        </is>
      </c>
      <c r="D204" s="13" t="inlineStr">
        <is>
          <t>IBS</t>
        </is>
      </c>
      <c r="E204" s="15" t="n">
        <v>945.75</v>
      </c>
      <c r="F204" s="8" t="n"/>
      <c r="G204" s="15">
        <f>IF(F204="","",E204-F204)</f>
        <v/>
      </c>
      <c r="H204" s="13" t="n"/>
      <c r="I204" s="14" t="n"/>
    </row>
    <row r="205">
      <c r="A205" s="16" t="inlineStr">
        <is>
          <t>RT4-2027</t>
        </is>
      </c>
      <c r="B205" s="16" t="inlineStr">
        <is>
          <t>Reforma - 2027</t>
        </is>
      </c>
      <c r="C205" s="17" t="inlineStr">
        <is>
          <t>Indústria no Lucro Real; receita R$ 3.000.000,00</t>
        </is>
      </c>
      <c r="D205" s="16" t="inlineStr">
        <is>
          <t>TOTAL</t>
        </is>
      </c>
      <c r="E205" s="18">
        <f>SUM(E202:E204)</f>
        <v/>
      </c>
      <c r="F205" s="12" t="n"/>
      <c r="G205" s="18">
        <f>IF(F205="","",E205-F205)</f>
        <v/>
      </c>
      <c r="H205" s="16" t="n"/>
      <c r="I205" s="17" t="n"/>
    </row>
    <row r="206">
      <c r="A206" s="5" t="inlineStr">
        <is>
          <t>RT4-2029</t>
        </is>
      </c>
      <c r="B206" s="5" t="inlineStr">
        <is>
          <t>Reforma - 2029</t>
        </is>
      </c>
      <c r="C206" s="6" t="inlineStr">
        <is>
          <t>Indústria no Lucro Real; receita R$ 3.000.000,00</t>
        </is>
      </c>
      <c r="D206" s="5" t="inlineStr">
        <is>
          <t>ICMS</t>
        </is>
      </c>
      <c r="E206" s="7" t="n">
        <v>243000</v>
      </c>
      <c r="F206" s="8" t="n"/>
      <c r="G206" s="7">
        <f>IF(F206="","",E206-F206)</f>
        <v/>
      </c>
      <c r="H206" s="5" t="n"/>
      <c r="I206" s="6" t="n"/>
    </row>
    <row r="207">
      <c r="A207" s="5" t="inlineStr">
        <is>
          <t>RT4-2029</t>
        </is>
      </c>
      <c r="B207" s="5" t="inlineStr">
        <is>
          <t>Reforma - 2029</t>
        </is>
      </c>
      <c r="C207" s="6" t="inlineStr">
        <is>
          <t>Indústria no Lucro Real; receita R$ 3.000.000,00</t>
        </is>
      </c>
      <c r="D207" s="5" t="inlineStr">
        <is>
          <t>CBS</t>
        </is>
      </c>
      <c r="E207" s="7" t="n">
        <v>83226</v>
      </c>
      <c r="F207" s="8" t="n"/>
      <c r="G207" s="7">
        <f>IF(F207="","",E207-F207)</f>
        <v/>
      </c>
      <c r="H207" s="5" t="n"/>
      <c r="I207" s="6" t="n"/>
    </row>
    <row r="208">
      <c r="A208" s="5" t="inlineStr">
        <is>
          <t>RT4-2029</t>
        </is>
      </c>
      <c r="B208" s="5" t="inlineStr">
        <is>
          <t>Reforma - 2029</t>
        </is>
      </c>
      <c r="C208" s="6" t="inlineStr">
        <is>
          <t>Indústria no Lucro Real; receita R$ 3.000.000,00</t>
        </is>
      </c>
      <c r="D208" s="5" t="inlineStr">
        <is>
          <t>IBS</t>
        </is>
      </c>
      <c r="E208" s="7" t="n">
        <v>16739.78</v>
      </c>
      <c r="F208" s="8" t="n"/>
      <c r="G208" s="7">
        <f>IF(F208="","",E208-F208)</f>
        <v/>
      </c>
      <c r="H208" s="5" t="n"/>
      <c r="I208" s="6" t="n"/>
    </row>
    <row r="209">
      <c r="A209" s="9" t="inlineStr">
        <is>
          <t>RT4-2029</t>
        </is>
      </c>
      <c r="B209" s="9" t="inlineStr">
        <is>
          <t>Reforma - 2029</t>
        </is>
      </c>
      <c r="C209" s="10" t="inlineStr">
        <is>
          <t>Indústria no Lucro Real; receita R$ 3.000.000,00</t>
        </is>
      </c>
      <c r="D209" s="9" t="inlineStr">
        <is>
          <t>TOTAL</t>
        </is>
      </c>
      <c r="E209" s="11">
        <f>SUM(E206:E208)</f>
        <v/>
      </c>
      <c r="F209" s="12" t="n"/>
      <c r="G209" s="11">
        <f>IF(F209="","",E209-F209)</f>
        <v/>
      </c>
      <c r="H209" s="9" t="n"/>
      <c r="I209" s="10" t="n"/>
    </row>
    <row r="210">
      <c r="A210" s="13" t="inlineStr">
        <is>
          <t>RT4-2033</t>
        </is>
      </c>
      <c r="B210" s="13" t="inlineStr">
        <is>
          <t>Reforma - 2033</t>
        </is>
      </c>
      <c r="C210" s="14" t="inlineStr">
        <is>
          <t>Indústria no Lucro Real; receita R$ 3.000.000,00</t>
        </is>
      </c>
      <c r="D210" s="13" t="inlineStr">
        <is>
          <t>CBS</t>
        </is>
      </c>
      <c r="E210" s="15" t="n">
        <v>83226</v>
      </c>
      <c r="F210" s="8" t="n"/>
      <c r="G210" s="15">
        <f>IF(F210="","",E210-F210)</f>
        <v/>
      </c>
      <c r="H210" s="13" t="n"/>
      <c r="I210" s="14" t="n"/>
    </row>
    <row r="211">
      <c r="A211" s="13" t="inlineStr">
        <is>
          <t>RT4-2033</t>
        </is>
      </c>
      <c r="B211" s="13" t="inlineStr">
        <is>
          <t>Reforma - 2033</t>
        </is>
      </c>
      <c r="C211" s="14" t="inlineStr">
        <is>
          <t>Indústria no Lucro Real; receita R$ 3.000.000,00</t>
        </is>
      </c>
      <c r="D211" s="13" t="inlineStr">
        <is>
          <t>IBS</t>
        </is>
      </c>
      <c r="E211" s="15" t="n">
        <v>167397.75</v>
      </c>
      <c r="F211" s="8" t="n"/>
      <c r="G211" s="15">
        <f>IF(F211="","",E211-F211)</f>
        <v/>
      </c>
      <c r="H211" s="13" t="n"/>
      <c r="I211" s="14" t="n"/>
    </row>
    <row r="212">
      <c r="A212" s="16" t="inlineStr">
        <is>
          <t>RT4-2033</t>
        </is>
      </c>
      <c r="B212" s="16" t="inlineStr">
        <is>
          <t>Reforma - 2033</t>
        </is>
      </c>
      <c r="C212" s="17" t="inlineStr">
        <is>
          <t>Indústria no Lucro Real; receita R$ 3.000.000,00</t>
        </is>
      </c>
      <c r="D212" s="16" t="inlineStr">
        <is>
          <t>TOTAL</t>
        </is>
      </c>
      <c r="E212" s="18">
        <f>SUM(E210:E211)</f>
        <v/>
      </c>
      <c r="F212" s="12" t="n"/>
      <c r="G212" s="18">
        <f>IF(F212="","",E212-F212)</f>
        <v/>
      </c>
      <c r="H212" s="16" t="n"/>
      <c r="I212" s="17" t="n"/>
    </row>
    <row r="213">
      <c r="A213" s="5" t="inlineStr">
        <is>
          <t>SR1-2027</t>
        </is>
      </c>
      <c r="B213" s="5" t="inlineStr">
        <is>
          <t>Simples na Reforma - 2027</t>
        </is>
      </c>
      <c r="C213" s="6" t="inlineStr">
        <is>
          <t>Comércio, 80% B2B, compras de fornecedores do regime regular; receita R$ 2.000.000,00</t>
        </is>
      </c>
      <c r="D213" s="5" t="inlineStr">
        <is>
          <t>Receita líquida — dentro do DAS</t>
        </is>
      </c>
      <c r="E213" s="7" t="n">
        <v>1801300</v>
      </c>
      <c r="F213" s="8" t="n"/>
      <c r="G213" s="7">
        <f>IF(F213="","",E213-F213)</f>
        <v/>
      </c>
      <c r="H213" s="5" t="n"/>
      <c r="I213" s="6" t="n"/>
    </row>
    <row r="214">
      <c r="A214" s="5" t="inlineStr">
        <is>
          <t>SR1-2027</t>
        </is>
      </c>
      <c r="B214" s="5" t="inlineStr">
        <is>
          <t>Simples na Reforma - 2027</t>
        </is>
      </c>
      <c r="C214" s="6" t="inlineStr">
        <is>
          <t>Comércio, 80% B2B, compras de fornecedores do regime regular; receita R$ 2.000.000,00</t>
        </is>
      </c>
      <c r="D214" s="5" t="inlineStr">
        <is>
          <t>Receita líquida — por fora</t>
        </is>
      </c>
      <c r="E214" s="7" t="n">
        <v>1885491.26</v>
      </c>
      <c r="F214" s="8" t="n"/>
      <c r="G214" s="7">
        <f>IF(F214="","",E214-F214)</f>
        <v/>
      </c>
      <c r="H214" s="5" t="n"/>
      <c r="I214" s="6" t="n"/>
    </row>
    <row r="215">
      <c r="A215" s="13" t="inlineStr">
        <is>
          <t>SR1-2033</t>
        </is>
      </c>
      <c r="B215" s="13" t="inlineStr">
        <is>
          <t>Simples na Reforma - 2033</t>
        </is>
      </c>
      <c r="C215" s="14" t="inlineStr">
        <is>
          <t>Comércio, 80% B2B, compras de fornecedores do regime regular; receita R$ 2.000.000,00</t>
        </is>
      </c>
      <c r="D215" s="13" t="inlineStr">
        <is>
          <t>Receita líquida — dentro do DAS</t>
        </is>
      </c>
      <c r="E215" s="15" t="n">
        <v>1801300</v>
      </c>
      <c r="F215" s="8" t="n"/>
      <c r="G215" s="15">
        <f>IF(F215="","",E215-F215)</f>
        <v/>
      </c>
      <c r="H215" s="13" t="n"/>
      <c r="I215" s="14" t="n"/>
    </row>
    <row r="216">
      <c r="A216" s="13" t="inlineStr">
        <is>
          <t>SR1-2033</t>
        </is>
      </c>
      <c r="B216" s="13" t="inlineStr">
        <is>
          <t>Simples na Reforma - 2033</t>
        </is>
      </c>
      <c r="C216" s="14" t="inlineStr">
        <is>
          <t>Comércio, 80% B2B, compras de fornecedores do regime regular; receita R$ 2.000.000,00</t>
        </is>
      </c>
      <c r="D216" s="13" t="inlineStr">
        <is>
          <t>Receita líquida — por fora</t>
        </is>
      </c>
      <c r="E216" s="15" t="n">
        <v>2063170.46</v>
      </c>
      <c r="F216" s="8" t="n"/>
      <c r="G216" s="15">
        <f>IF(F216="","",E216-F216)</f>
        <v/>
      </c>
      <c r="H216" s="13" t="n"/>
      <c r="I216" s="14" t="n"/>
    </row>
    <row r="217">
      <c r="A217" s="5" t="inlineStr">
        <is>
          <t>SR2-2027</t>
        </is>
      </c>
      <c r="B217" s="5" t="inlineStr">
        <is>
          <t>Simples na Reforma - 2027</t>
        </is>
      </c>
      <c r="C217" s="6" t="inlineStr">
        <is>
          <t>Serviços (Anexo III), 100% B2B, sem compras; receita R$ 600.000,00</t>
        </is>
      </c>
      <c r="D217" s="5" t="inlineStr">
        <is>
          <t>Receita líquida — dentro do DAS</t>
        </is>
      </c>
      <c r="E217" s="7" t="n">
        <v>536640</v>
      </c>
      <c r="F217" s="8" t="n"/>
      <c r="G217" s="7">
        <f>IF(F217="","",E217-F217)</f>
        <v/>
      </c>
      <c r="H217" s="5" t="n"/>
      <c r="I217" s="6" t="n"/>
    </row>
    <row r="218">
      <c r="A218" s="5" t="inlineStr">
        <is>
          <t>SR2-2027</t>
        </is>
      </c>
      <c r="B218" s="5" t="inlineStr">
        <is>
          <t>Simples na Reforma - 2027</t>
        </is>
      </c>
      <c r="C218" s="6" t="inlineStr">
        <is>
          <t>Serviços (Anexo III), 100% B2B, sem compras; receita R$ 600.000,00</t>
        </is>
      </c>
      <c r="D218" s="5" t="inlineStr">
        <is>
          <t>Receita líquida — por fora</t>
        </is>
      </c>
      <c r="E218" s="7" t="n">
        <v>537566.3</v>
      </c>
      <c r="F218" s="8" t="n"/>
      <c r="G218" s="7">
        <f>IF(F218="","",E218-F218)</f>
        <v/>
      </c>
      <c r="H218" s="5" t="n"/>
      <c r="I218" s="6" t="n"/>
    </row>
    <row r="219">
      <c r="A219" s="13" t="inlineStr">
        <is>
          <t>SR2-2033</t>
        </is>
      </c>
      <c r="B219" s="13" t="inlineStr">
        <is>
          <t>Simples na Reforma - 2033</t>
        </is>
      </c>
      <c r="C219" s="14" t="inlineStr">
        <is>
          <t>Serviços (Anexo III), 100% B2B, sem compras; receita R$ 600.000,00</t>
        </is>
      </c>
      <c r="D219" s="13" t="inlineStr">
        <is>
          <t>Receita líquida — dentro do DAS</t>
        </is>
      </c>
      <c r="E219" s="15" t="n">
        <v>536640</v>
      </c>
      <c r="F219" s="8" t="n"/>
      <c r="G219" s="15">
        <f>IF(F219="","",E219-F219)</f>
        <v/>
      </c>
      <c r="H219" s="13" t="n"/>
      <c r="I219" s="14" t="n"/>
    </row>
    <row r="220">
      <c r="A220" s="13" t="inlineStr">
        <is>
          <t>SR2-2033</t>
        </is>
      </c>
      <c r="B220" s="13" t="inlineStr">
        <is>
          <t>Simples na Reforma - 2033</t>
        </is>
      </c>
      <c r="C220" s="14" t="inlineStr">
        <is>
          <t>Serviços (Anexo III), 100% B2B, sem compras; receita R$ 600.000,00</t>
        </is>
      </c>
      <c r="D220" s="13" t="inlineStr">
        <is>
          <t>Receita líquida — por fora</t>
        </is>
      </c>
      <c r="E220" s="15" t="n">
        <v>538312.16</v>
      </c>
      <c r="F220" s="8" t="n"/>
      <c r="G220" s="15">
        <f>IF(F220="","",E220-F220)</f>
        <v/>
      </c>
      <c r="H220" s="13" t="n"/>
      <c r="I220" s="14" t="n"/>
    </row>
    <row r="221">
      <c r="A221" s="5" t="inlineStr">
        <is>
          <t>SR3-2027</t>
        </is>
      </c>
      <c r="B221" s="5" t="inlineStr">
        <is>
          <t>Simples na Reforma - 2027</t>
        </is>
      </c>
      <c r="C221" s="6" t="inlineStr">
        <is>
          <t>Serviços com fator R, 30% B2B; receita R$ 1.200.000,00</t>
        </is>
      </c>
      <c r="D221" s="5" t="inlineStr">
        <is>
          <t>Receita líquida — dentro do DAS</t>
        </is>
      </c>
      <c r="E221" s="7" t="n">
        <v>1043640</v>
      </c>
      <c r="F221" s="8" t="n"/>
      <c r="G221" s="7">
        <f>IF(F221="","",E221-F221)</f>
        <v/>
      </c>
      <c r="H221" s="5" t="n"/>
      <c r="I221" s="6" t="n"/>
    </row>
    <row r="222">
      <c r="A222" s="5" t="inlineStr">
        <is>
          <t>SR3-2027</t>
        </is>
      </c>
      <c r="B222" s="5" t="inlineStr">
        <is>
          <t>Simples na Reforma - 2027</t>
        </is>
      </c>
      <c r="C222" s="6" t="inlineStr">
        <is>
          <t>Serviços com fator R, 30% B2B; receita R$ 1.200.000,00</t>
        </is>
      </c>
      <c r="D222" s="5" t="inlineStr">
        <is>
          <t>Receita líquida — por fora</t>
        </is>
      </c>
      <c r="E222" s="7" t="n">
        <v>1002097.22</v>
      </c>
      <c r="F222" s="8" t="n"/>
      <c r="G222" s="7">
        <f>IF(F222="","",E222-F222)</f>
        <v/>
      </c>
      <c r="H222" s="5" t="n"/>
      <c r="I222" s="6" t="n"/>
    </row>
    <row r="223">
      <c r="A223" s="13" t="inlineStr">
        <is>
          <t>SR3-2033</t>
        </is>
      </c>
      <c r="B223" s="13" t="inlineStr">
        <is>
          <t>Simples na Reforma - 2033</t>
        </is>
      </c>
      <c r="C223" s="14" t="inlineStr">
        <is>
          <t>Serviços com fator R, 30% B2B; receita R$ 1.200.000,00</t>
        </is>
      </c>
      <c r="D223" s="13" t="inlineStr">
        <is>
          <t>Receita líquida — dentro do DAS</t>
        </is>
      </c>
      <c r="E223" s="15" t="n">
        <v>1043640</v>
      </c>
      <c r="F223" s="8" t="n"/>
      <c r="G223" s="15">
        <f>IF(F223="","",E223-F223)</f>
        <v/>
      </c>
      <c r="H223" s="13" t="n"/>
      <c r="I223" s="14" t="n"/>
    </row>
    <row r="224">
      <c r="A224" s="13" t="inlineStr">
        <is>
          <t>SR3-2033</t>
        </is>
      </c>
      <c r="B224" s="13" t="inlineStr">
        <is>
          <t>Simples na Reforma - 2033</t>
        </is>
      </c>
      <c r="C224" s="14" t="inlineStr">
        <is>
          <t>Serviços com fator R, 30% B2B; receita R$ 1.200.000,00</t>
        </is>
      </c>
      <c r="D224" s="13" t="inlineStr">
        <is>
          <t>Receita líquida — por fora</t>
        </is>
      </c>
      <c r="E224" s="15" t="n">
        <v>934610.78</v>
      </c>
      <c r="F224" s="8" t="n"/>
      <c r="G224" s="15">
        <f>IF(F224="","",E224-F224)</f>
        <v/>
      </c>
      <c r="H224" s="13" t="n"/>
      <c r="I224" s="14" t="n"/>
    </row>
    <row r="225">
      <c r="A225" s="5" t="inlineStr">
        <is>
          <t>AU1-PF</t>
        </is>
      </c>
      <c r="B225" s="5" t="inlineStr">
        <is>
          <t>Autônomo × CNPJ — Autônomo (pessoa física) (mensal)</t>
        </is>
      </c>
      <c r="C225" s="6" t="inlineStr">
        <is>
          <t>Receita R$ 6.000/mês, pode ser MEI</t>
        </is>
      </c>
      <c r="D225" s="5" t="inlineStr">
        <is>
          <t>INSS (20%)</t>
        </is>
      </c>
      <c r="E225" s="7" t="n">
        <v>1200</v>
      </c>
      <c r="F225" s="8" t="n"/>
      <c r="G225" s="7">
        <f>IF(F225="","",E225-F225)</f>
        <v/>
      </c>
      <c r="H225" s="5" t="n"/>
      <c r="I225" s="6" t="n"/>
    </row>
    <row r="226">
      <c r="A226" s="5" t="inlineStr">
        <is>
          <t>AU1-PF</t>
        </is>
      </c>
      <c r="B226" s="5" t="inlineStr">
        <is>
          <t>Autônomo × CNPJ — Autônomo (pessoa física) (mensal)</t>
        </is>
      </c>
      <c r="C226" s="6" t="inlineStr">
        <is>
          <t>Receita R$ 6.000/mês, pode ser MEI</t>
        </is>
      </c>
      <c r="D226" s="5" t="inlineStr">
        <is>
          <t>IRPF (carnê-leão)</t>
        </is>
      </c>
      <c r="E226" s="7" t="n">
        <v>231.52</v>
      </c>
      <c r="F226" s="8" t="n"/>
      <c r="G226" s="7">
        <f>IF(F226="","",E226-F226)</f>
        <v/>
      </c>
      <c r="H226" s="5" t="n"/>
      <c r="I226" s="6" t="n"/>
    </row>
    <row r="227">
      <c r="A227" s="9" t="inlineStr">
        <is>
          <t>AU1-PF</t>
        </is>
      </c>
      <c r="B227" s="9" t="inlineStr">
        <is>
          <t>Autônomo × CNPJ — Autônomo (pessoa física) (mensal)</t>
        </is>
      </c>
      <c r="C227" s="10" t="inlineStr">
        <is>
          <t>Receita R$ 6.000/mês, pode ser MEI</t>
        </is>
      </c>
      <c r="D227" s="9" t="inlineStr">
        <is>
          <t>TOTAL</t>
        </is>
      </c>
      <c r="E227" s="11">
        <f>SUM(E225:E226)</f>
        <v/>
      </c>
      <c r="F227" s="12" t="n"/>
      <c r="G227" s="11">
        <f>IF(F227="","",E227-F227)</f>
        <v/>
      </c>
      <c r="H227" s="9" t="n"/>
      <c r="I227" s="10" t="n"/>
    </row>
    <row r="228">
      <c r="A228" s="13" t="inlineStr">
        <is>
          <t>AU1-MEI</t>
        </is>
      </c>
      <c r="B228" s="13" t="inlineStr">
        <is>
          <t>Autônomo × CNPJ — MEI (mensal)</t>
        </is>
      </c>
      <c r="C228" s="14" t="inlineStr">
        <is>
          <t>Receita R$ 6.000/mês, pode ser MEI</t>
        </is>
      </c>
      <c r="D228" s="13" t="inlineStr">
        <is>
          <t>DAS-MEI (INSS)</t>
        </is>
      </c>
      <c r="E228" s="15" t="n">
        <v>81.05</v>
      </c>
      <c r="F228" s="8" t="n"/>
      <c r="G228" s="15">
        <f>IF(F228="","",E228-F228)</f>
        <v/>
      </c>
      <c r="H228" s="13" t="n"/>
      <c r="I228" s="14" t="n"/>
    </row>
    <row r="229">
      <c r="A229" s="13" t="inlineStr">
        <is>
          <t>AU1-MEI</t>
        </is>
      </c>
      <c r="B229" s="13" t="inlineStr">
        <is>
          <t>Autônomo × CNPJ — MEI (mensal)</t>
        </is>
      </c>
      <c r="C229" s="14" t="inlineStr">
        <is>
          <t>Receita R$ 6.000/mês, pode ser MEI</t>
        </is>
      </c>
      <c r="D229" s="13" t="inlineStr">
        <is>
          <t>DAS-MEI (ISS)</t>
        </is>
      </c>
      <c r="E229" s="15" t="n">
        <v>5</v>
      </c>
      <c r="F229" s="8" t="n"/>
      <c r="G229" s="15">
        <f>IF(F229="","",E229-F229)</f>
        <v/>
      </c>
      <c r="H229" s="13" t="n"/>
      <c r="I229" s="14" t="n"/>
    </row>
    <row r="230">
      <c r="A230" s="16" t="inlineStr">
        <is>
          <t>AU1-MEI</t>
        </is>
      </c>
      <c r="B230" s="16" t="inlineStr">
        <is>
          <t>Autônomo × CNPJ — MEI (mensal)</t>
        </is>
      </c>
      <c r="C230" s="17" t="inlineStr">
        <is>
          <t>Receita R$ 6.000/mês, pode ser MEI</t>
        </is>
      </c>
      <c r="D230" s="16" t="inlineStr">
        <is>
          <t>TOTAL</t>
        </is>
      </c>
      <c r="E230" s="18">
        <f>SUM(E228:E229)</f>
        <v/>
      </c>
      <c r="F230" s="12" t="n"/>
      <c r="G230" s="18">
        <f>IF(F230="","",E230-F230)</f>
        <v/>
      </c>
      <c r="H230" s="16" t="n"/>
      <c r="I230" s="17" t="n"/>
    </row>
    <row r="231">
      <c r="A231" s="5" t="inlineStr">
        <is>
          <t>AU1-SN</t>
        </is>
      </c>
      <c r="B231" s="5" t="inlineStr">
        <is>
          <t>Autônomo × CNPJ — Simples Nacional (mensal)</t>
        </is>
      </c>
      <c r="C231" s="6" t="inlineStr">
        <is>
          <t>Receita R$ 6.000/mês, pode ser MEI</t>
        </is>
      </c>
      <c r="D231" s="5" t="inlineStr">
        <is>
          <t>DAS</t>
        </is>
      </c>
      <c r="E231" s="7" t="n">
        <v>360</v>
      </c>
      <c r="F231" s="8" t="n"/>
      <c r="G231" s="7">
        <f>IF(F231="","",E231-F231)</f>
        <v/>
      </c>
      <c r="H231" s="5" t="n"/>
      <c r="I231" s="6" t="n"/>
    </row>
    <row r="232">
      <c r="A232" s="5" t="inlineStr">
        <is>
          <t>AU1-SN</t>
        </is>
      </c>
      <c r="B232" s="5" t="inlineStr">
        <is>
          <t>Autônomo × CNPJ — Simples Nacional (mensal)</t>
        </is>
      </c>
      <c r="C232" s="6" t="inlineStr">
        <is>
          <t>Receita R$ 6.000/mês, pode ser MEI</t>
        </is>
      </c>
      <c r="D232" s="5" t="inlineStr">
        <is>
          <t>INSS sobre pró-labore (11%)</t>
        </is>
      </c>
      <c r="E232" s="7" t="n">
        <v>184.8</v>
      </c>
      <c r="F232" s="8" t="n"/>
      <c r="G232" s="7">
        <f>IF(F232="","",E232-F232)</f>
        <v/>
      </c>
      <c r="H232" s="5" t="n"/>
      <c r="I232" s="6" t="n"/>
    </row>
    <row r="233">
      <c r="A233" s="5" t="inlineStr">
        <is>
          <t>AU1-SN</t>
        </is>
      </c>
      <c r="B233" s="5" t="inlineStr">
        <is>
          <t>Autônomo × CNPJ — Simples Nacional (mensal)</t>
        </is>
      </c>
      <c r="C233" s="6" t="inlineStr">
        <is>
          <t>Receita R$ 6.000/mês, pode ser MEI</t>
        </is>
      </c>
      <c r="D233" s="5" t="inlineStr">
        <is>
          <t>IRPF sobre pró-labore</t>
        </is>
      </c>
      <c r="E233" s="7" t="n">
        <v>0</v>
      </c>
      <c r="F233" s="8" t="n"/>
      <c r="G233" s="7">
        <f>IF(F233="","",E233-F233)</f>
        <v/>
      </c>
      <c r="H233" s="5" t="n"/>
      <c r="I233" s="6" t="n"/>
    </row>
    <row r="234">
      <c r="A234" s="9" t="inlineStr">
        <is>
          <t>AU1-SN</t>
        </is>
      </c>
      <c r="B234" s="9" t="inlineStr">
        <is>
          <t>Autônomo × CNPJ — Simples Nacional (mensal)</t>
        </is>
      </c>
      <c r="C234" s="10" t="inlineStr">
        <is>
          <t>Receita R$ 6.000/mês, pode ser MEI</t>
        </is>
      </c>
      <c r="D234" s="9" t="inlineStr">
        <is>
          <t>TOTAL</t>
        </is>
      </c>
      <c r="E234" s="11">
        <f>SUM(E231:E233)</f>
        <v/>
      </c>
      <c r="F234" s="12" t="n"/>
      <c r="G234" s="11">
        <f>IF(F234="","",E234-F234)</f>
        <v/>
      </c>
      <c r="H234" s="9" t="n"/>
      <c r="I234" s="10" t="n"/>
    </row>
    <row r="235">
      <c r="A235" s="13" t="inlineStr">
        <is>
          <t>AU1-LP</t>
        </is>
      </c>
      <c r="B235" s="13" t="inlineStr">
        <is>
          <t>Autônomo × CNPJ — Lucro Presumido (mensal)</t>
        </is>
      </c>
      <c r="C235" s="14" t="inlineStr">
        <is>
          <t>Receita R$ 6.000/mês, pode ser MEI</t>
        </is>
      </c>
      <c r="D235" s="13" t="inlineStr">
        <is>
          <t>IRPJ</t>
        </is>
      </c>
      <c r="E235" s="15" t="n">
        <v>288</v>
      </c>
      <c r="F235" s="8" t="n"/>
      <c r="G235" s="15">
        <f>IF(F235="","",E235-F235)</f>
        <v/>
      </c>
      <c r="H235" s="13" t="n"/>
      <c r="I235" s="14" t="n"/>
    </row>
    <row r="236">
      <c r="A236" s="13" t="inlineStr">
        <is>
          <t>AU1-LP</t>
        </is>
      </c>
      <c r="B236" s="13" t="inlineStr">
        <is>
          <t>Autônomo × CNPJ — Lucro Presumido (mensal)</t>
        </is>
      </c>
      <c r="C236" s="14" t="inlineStr">
        <is>
          <t>Receita R$ 6.000/mês, pode ser MEI</t>
        </is>
      </c>
      <c r="D236" s="13" t="inlineStr">
        <is>
          <t>CSLL</t>
        </is>
      </c>
      <c r="E236" s="15" t="n">
        <v>172.8</v>
      </c>
      <c r="F236" s="8" t="n"/>
      <c r="G236" s="15">
        <f>IF(F236="","",E236-F236)</f>
        <v/>
      </c>
      <c r="H236" s="13" t="n"/>
      <c r="I236" s="14" t="n"/>
    </row>
    <row r="237">
      <c r="A237" s="13" t="inlineStr">
        <is>
          <t>AU1-LP</t>
        </is>
      </c>
      <c r="B237" s="13" t="inlineStr">
        <is>
          <t>Autônomo × CNPJ — Lucro Presumido (mensal)</t>
        </is>
      </c>
      <c r="C237" s="14" t="inlineStr">
        <is>
          <t>Receita R$ 6.000/mês, pode ser MEI</t>
        </is>
      </c>
      <c r="D237" s="13" t="inlineStr">
        <is>
          <t>PIS</t>
        </is>
      </c>
      <c r="E237" s="15" t="n">
        <v>39</v>
      </c>
      <c r="F237" s="8" t="n"/>
      <c r="G237" s="15">
        <f>IF(F237="","",E237-F237)</f>
        <v/>
      </c>
      <c r="H237" s="13" t="n"/>
      <c r="I237" s="14" t="n"/>
    </row>
    <row r="238">
      <c r="A238" s="13" t="inlineStr">
        <is>
          <t>AU1-LP</t>
        </is>
      </c>
      <c r="B238" s="13" t="inlineStr">
        <is>
          <t>Autônomo × CNPJ — Lucro Presumido (mensal)</t>
        </is>
      </c>
      <c r="C238" s="14" t="inlineStr">
        <is>
          <t>Receita R$ 6.000/mês, pode ser MEI</t>
        </is>
      </c>
      <c r="D238" s="13" t="inlineStr">
        <is>
          <t>Cofins</t>
        </is>
      </c>
      <c r="E238" s="15" t="n">
        <v>180</v>
      </c>
      <c r="F238" s="8" t="n"/>
      <c r="G238" s="15">
        <f>IF(F238="","",E238-F238)</f>
        <v/>
      </c>
      <c r="H238" s="13" t="n"/>
      <c r="I238" s="14" t="n"/>
    </row>
    <row r="239">
      <c r="A239" s="13" t="inlineStr">
        <is>
          <t>AU1-LP</t>
        </is>
      </c>
      <c r="B239" s="13" t="inlineStr">
        <is>
          <t>Autônomo × CNPJ — Lucro Presumido (mensal)</t>
        </is>
      </c>
      <c r="C239" s="14" t="inlineStr">
        <is>
          <t>Receita R$ 6.000/mês, pode ser MEI</t>
        </is>
      </c>
      <c r="D239" s="13" t="inlineStr">
        <is>
          <t>ISS</t>
        </is>
      </c>
      <c r="E239" s="15" t="n">
        <v>300</v>
      </c>
      <c r="F239" s="8" t="n"/>
      <c r="G239" s="15">
        <f>IF(F239="","",E239-F239)</f>
        <v/>
      </c>
      <c r="H239" s="13" t="n"/>
      <c r="I239" s="14" t="n"/>
    </row>
    <row r="240">
      <c r="A240" s="13" t="inlineStr">
        <is>
          <t>AU1-LP</t>
        </is>
      </c>
      <c r="B240" s="13" t="inlineStr">
        <is>
          <t>Autônomo × CNPJ — Lucro Presumido (mensal)</t>
        </is>
      </c>
      <c r="C240" s="14" t="inlineStr">
        <is>
          <t>Receita R$ 6.000/mês, pode ser MEI</t>
        </is>
      </c>
      <c r="D240" s="13" t="inlineStr">
        <is>
          <t>INSS patronal</t>
        </is>
      </c>
      <c r="E240" s="15" t="n">
        <v>324.2</v>
      </c>
      <c r="F240" s="8" t="n"/>
      <c r="G240" s="15">
        <f>IF(F240="","",E240-F240)</f>
        <v/>
      </c>
      <c r="H240" s="13" t="n"/>
      <c r="I240" s="14" t="n"/>
    </row>
    <row r="241">
      <c r="A241" s="13" t="inlineStr">
        <is>
          <t>AU1-LP</t>
        </is>
      </c>
      <c r="B241" s="13" t="inlineStr">
        <is>
          <t>Autônomo × CNPJ — Lucro Presumido (mensal)</t>
        </is>
      </c>
      <c r="C241" s="14" t="inlineStr">
        <is>
          <t>Receita R$ 6.000/mês, pode ser MEI</t>
        </is>
      </c>
      <c r="D241" s="13" t="inlineStr">
        <is>
          <t>INSS sobre pró-labore (11%)</t>
        </is>
      </c>
      <c r="E241" s="15" t="n">
        <v>178.31</v>
      </c>
      <c r="F241" s="8" t="n"/>
      <c r="G241" s="15">
        <f>IF(F241="","",E241-F241)</f>
        <v/>
      </c>
      <c r="H241" s="13" t="n"/>
      <c r="I241" s="14" t="n"/>
    </row>
    <row r="242">
      <c r="A242" s="13" t="inlineStr">
        <is>
          <t>AU1-LP</t>
        </is>
      </c>
      <c r="B242" s="13" t="inlineStr">
        <is>
          <t>Autônomo × CNPJ — Lucro Presumido (mensal)</t>
        </is>
      </c>
      <c r="C242" s="14" t="inlineStr">
        <is>
          <t>Receita R$ 6.000/mês, pode ser MEI</t>
        </is>
      </c>
      <c r="D242" s="13" t="inlineStr">
        <is>
          <t>IRPF sobre pró-labore</t>
        </is>
      </c>
      <c r="E242" s="15" t="n">
        <v>0</v>
      </c>
      <c r="F242" s="8" t="n"/>
      <c r="G242" s="15">
        <f>IF(F242="","",E242-F242)</f>
        <v/>
      </c>
      <c r="H242" s="13" t="n"/>
      <c r="I242" s="14" t="n"/>
    </row>
    <row r="243">
      <c r="A243" s="16" t="inlineStr">
        <is>
          <t>AU1-LP</t>
        </is>
      </c>
      <c r="B243" s="16" t="inlineStr">
        <is>
          <t>Autônomo × CNPJ — Lucro Presumido (mensal)</t>
        </is>
      </c>
      <c r="C243" s="17" t="inlineStr">
        <is>
          <t>Receita R$ 6.000/mês, pode ser MEI</t>
        </is>
      </c>
      <c r="D243" s="16" t="inlineStr">
        <is>
          <t>TOTAL</t>
        </is>
      </c>
      <c r="E243" s="18">
        <f>SUM(E235:E242)</f>
        <v/>
      </c>
      <c r="F243" s="12" t="n"/>
      <c r="G243" s="18">
        <f>IF(F243="","",E243-F243)</f>
        <v/>
      </c>
      <c r="H243" s="16" t="n"/>
      <c r="I243" s="17" t="n"/>
    </row>
    <row r="244">
      <c r="A244" s="5" t="inlineStr">
        <is>
          <t>AU2-PF</t>
        </is>
      </c>
      <c r="B244" s="5" t="inlineStr">
        <is>
          <t>Autônomo × CNPJ — Autônomo (pessoa física) (mensal)</t>
        </is>
      </c>
      <c r="C244" s="6" t="inlineStr">
        <is>
          <t>Receita R$ 15.000/mês, despesas R$ 1.000</t>
        </is>
      </c>
      <c r="D244" s="5" t="inlineStr">
        <is>
          <t>INSS (20%)</t>
        </is>
      </c>
      <c r="E244" s="7" t="n">
        <v>1695.11</v>
      </c>
      <c r="F244" s="8" t="n"/>
      <c r="G244" s="7">
        <f>IF(F244="","",E244-F244)</f>
        <v/>
      </c>
      <c r="H244" s="5" t="n"/>
      <c r="I244" s="6" t="n"/>
    </row>
    <row r="245">
      <c r="A245" s="5" t="inlineStr">
        <is>
          <t>AU2-PF</t>
        </is>
      </c>
      <c r="B245" s="5" t="inlineStr">
        <is>
          <t>Autônomo × CNPJ — Autônomo (pessoa física) (mensal)</t>
        </is>
      </c>
      <c r="C245" s="6" t="inlineStr">
        <is>
          <t>Receita R$ 15.000/mês, despesas R$ 1.000</t>
        </is>
      </c>
      <c r="D245" s="5" t="inlineStr">
        <is>
          <t>IRPF (carnê-leão)</t>
        </is>
      </c>
      <c r="E245" s="7" t="n">
        <v>2475.11</v>
      </c>
      <c r="F245" s="8" t="n"/>
      <c r="G245" s="7">
        <f>IF(F245="","",E245-F245)</f>
        <v/>
      </c>
      <c r="H245" s="5" t="n"/>
      <c r="I245" s="6" t="n"/>
    </row>
    <row r="246">
      <c r="A246" s="9" t="inlineStr">
        <is>
          <t>AU2-PF</t>
        </is>
      </c>
      <c r="B246" s="9" t="inlineStr">
        <is>
          <t>Autônomo × CNPJ — Autônomo (pessoa física) (mensal)</t>
        </is>
      </c>
      <c r="C246" s="10" t="inlineStr">
        <is>
          <t>Receita R$ 15.000/mês, despesas R$ 1.000</t>
        </is>
      </c>
      <c r="D246" s="9" t="inlineStr">
        <is>
          <t>TOTAL</t>
        </is>
      </c>
      <c r="E246" s="11">
        <f>SUM(E244:E245)</f>
        <v/>
      </c>
      <c r="F246" s="12" t="n"/>
      <c r="G246" s="11">
        <f>IF(F246="","",E246-F246)</f>
        <v/>
      </c>
      <c r="H246" s="9" t="n"/>
      <c r="I246" s="10" t="n"/>
    </row>
    <row r="247">
      <c r="A247" s="13" t="inlineStr">
        <is>
          <t>AU2-SN</t>
        </is>
      </c>
      <c r="B247" s="13" t="inlineStr">
        <is>
          <t>Autônomo × CNPJ — Simples Nacional (mensal)</t>
        </is>
      </c>
      <c r="C247" s="14" t="inlineStr">
        <is>
          <t>Receita R$ 15.000/mês, despesas R$ 1.000</t>
        </is>
      </c>
      <c r="D247" s="13" t="inlineStr">
        <is>
          <t>DAS</t>
        </is>
      </c>
      <c r="E247" s="15" t="n">
        <v>900</v>
      </c>
      <c r="F247" s="8" t="n"/>
      <c r="G247" s="15">
        <f>IF(F247="","",E247-F247)</f>
        <v/>
      </c>
      <c r="H247" s="13" t="n"/>
      <c r="I247" s="14" t="n"/>
    </row>
    <row r="248">
      <c r="A248" s="13" t="inlineStr">
        <is>
          <t>AU2-SN</t>
        </is>
      </c>
      <c r="B248" s="13" t="inlineStr">
        <is>
          <t>Autônomo × CNPJ — Simples Nacional (mensal)</t>
        </is>
      </c>
      <c r="C248" s="14" t="inlineStr">
        <is>
          <t>Receita R$ 15.000/mês, despesas R$ 1.000</t>
        </is>
      </c>
      <c r="D248" s="13" t="inlineStr">
        <is>
          <t>INSS sobre pró-labore (11%)</t>
        </is>
      </c>
      <c r="E248" s="15" t="n">
        <v>462</v>
      </c>
      <c r="F248" s="8" t="n"/>
      <c r="G248" s="15">
        <f>IF(F248="","",E248-F248)</f>
        <v/>
      </c>
      <c r="H248" s="13" t="n"/>
      <c r="I248" s="14" t="n"/>
    </row>
    <row r="249">
      <c r="A249" s="13" t="inlineStr">
        <is>
          <t>AU2-SN</t>
        </is>
      </c>
      <c r="B249" s="13" t="inlineStr">
        <is>
          <t>Autônomo × CNPJ — Simples Nacional (mensal)</t>
        </is>
      </c>
      <c r="C249" s="14" t="inlineStr">
        <is>
          <t>Receita R$ 15.000/mês, despesas R$ 1.000</t>
        </is>
      </c>
      <c r="D249" s="13" t="inlineStr">
        <is>
          <t>IRPF sobre pró-labore</t>
        </is>
      </c>
      <c r="E249" s="15" t="n">
        <v>0</v>
      </c>
      <c r="F249" s="8" t="n"/>
      <c r="G249" s="15">
        <f>IF(F249="","",E249-F249)</f>
        <v/>
      </c>
      <c r="H249" s="13" t="n"/>
      <c r="I249" s="14" t="n"/>
    </row>
    <row r="250">
      <c r="A250" s="16" t="inlineStr">
        <is>
          <t>AU2-SN</t>
        </is>
      </c>
      <c r="B250" s="16" t="inlineStr">
        <is>
          <t>Autônomo × CNPJ — Simples Nacional (mensal)</t>
        </is>
      </c>
      <c r="C250" s="17" t="inlineStr">
        <is>
          <t>Receita R$ 15.000/mês, despesas R$ 1.000</t>
        </is>
      </c>
      <c r="D250" s="16" t="inlineStr">
        <is>
          <t>TOTAL</t>
        </is>
      </c>
      <c r="E250" s="18">
        <f>SUM(E247:E249)</f>
        <v/>
      </c>
      <c r="F250" s="12" t="n"/>
      <c r="G250" s="18">
        <f>IF(F250="","",E250-F250)</f>
        <v/>
      </c>
      <c r="H250" s="16" t="n"/>
      <c r="I250" s="17" t="n"/>
    </row>
    <row r="251">
      <c r="A251" s="5" t="inlineStr">
        <is>
          <t>AU2-LP</t>
        </is>
      </c>
      <c r="B251" s="5" t="inlineStr">
        <is>
          <t>Autônomo × CNPJ — Lucro Presumido (mensal)</t>
        </is>
      </c>
      <c r="C251" s="6" t="inlineStr">
        <is>
          <t>Receita R$ 15.000/mês, despesas R$ 1.000</t>
        </is>
      </c>
      <c r="D251" s="5" t="inlineStr">
        <is>
          <t>IRPJ</t>
        </is>
      </c>
      <c r="E251" s="7" t="n">
        <v>720</v>
      </c>
      <c r="F251" s="8" t="n"/>
      <c r="G251" s="7">
        <f>IF(F251="","",E251-F251)</f>
        <v/>
      </c>
      <c r="H251" s="5" t="n"/>
      <c r="I251" s="6" t="n"/>
    </row>
    <row r="252">
      <c r="A252" s="5" t="inlineStr">
        <is>
          <t>AU2-LP</t>
        </is>
      </c>
      <c r="B252" s="5" t="inlineStr">
        <is>
          <t>Autônomo × CNPJ — Lucro Presumido (mensal)</t>
        </is>
      </c>
      <c r="C252" s="6" t="inlineStr">
        <is>
          <t>Receita R$ 15.000/mês, despesas R$ 1.000</t>
        </is>
      </c>
      <c r="D252" s="5" t="inlineStr">
        <is>
          <t>CSLL</t>
        </is>
      </c>
      <c r="E252" s="7" t="n">
        <v>432</v>
      </c>
      <c r="F252" s="8" t="n"/>
      <c r="G252" s="7">
        <f>IF(F252="","",E252-F252)</f>
        <v/>
      </c>
      <c r="H252" s="5" t="n"/>
      <c r="I252" s="6" t="n"/>
    </row>
    <row r="253">
      <c r="A253" s="5" t="inlineStr">
        <is>
          <t>AU2-LP</t>
        </is>
      </c>
      <c r="B253" s="5" t="inlineStr">
        <is>
          <t>Autônomo × CNPJ — Lucro Presumido (mensal)</t>
        </is>
      </c>
      <c r="C253" s="6" t="inlineStr">
        <is>
          <t>Receita R$ 15.000/mês, despesas R$ 1.000</t>
        </is>
      </c>
      <c r="D253" s="5" t="inlineStr">
        <is>
          <t>PIS</t>
        </is>
      </c>
      <c r="E253" s="7" t="n">
        <v>97.5</v>
      </c>
      <c r="F253" s="8" t="n"/>
      <c r="G253" s="7">
        <f>IF(F253="","",E253-F253)</f>
        <v/>
      </c>
      <c r="H253" s="5" t="n"/>
      <c r="I253" s="6" t="n"/>
    </row>
    <row r="254">
      <c r="A254" s="5" t="inlineStr">
        <is>
          <t>AU2-LP</t>
        </is>
      </c>
      <c r="B254" s="5" t="inlineStr">
        <is>
          <t>Autônomo × CNPJ — Lucro Presumido (mensal)</t>
        </is>
      </c>
      <c r="C254" s="6" t="inlineStr">
        <is>
          <t>Receita R$ 15.000/mês, despesas R$ 1.000</t>
        </is>
      </c>
      <c r="D254" s="5" t="inlineStr">
        <is>
          <t>Cofins</t>
        </is>
      </c>
      <c r="E254" s="7" t="n">
        <v>450</v>
      </c>
      <c r="F254" s="8" t="n"/>
      <c r="G254" s="7">
        <f>IF(F254="","",E254-F254)</f>
        <v/>
      </c>
      <c r="H254" s="5" t="n"/>
      <c r="I254" s="6" t="n"/>
    </row>
    <row r="255">
      <c r="A255" s="5" t="inlineStr">
        <is>
          <t>AU2-LP</t>
        </is>
      </c>
      <c r="B255" s="5" t="inlineStr">
        <is>
          <t>Autônomo × CNPJ — Lucro Presumido (mensal)</t>
        </is>
      </c>
      <c r="C255" s="6" t="inlineStr">
        <is>
          <t>Receita R$ 15.000/mês, despesas R$ 1.000</t>
        </is>
      </c>
      <c r="D255" s="5" t="inlineStr">
        <is>
          <t>ISS</t>
        </is>
      </c>
      <c r="E255" s="7" t="n">
        <v>750</v>
      </c>
      <c r="F255" s="8" t="n"/>
      <c r="G255" s="7">
        <f>IF(F255="","",E255-F255)</f>
        <v/>
      </c>
      <c r="H255" s="5" t="n"/>
      <c r="I255" s="6" t="n"/>
    </row>
    <row r="256">
      <c r="A256" s="5" t="inlineStr">
        <is>
          <t>AU2-LP</t>
        </is>
      </c>
      <c r="B256" s="5" t="inlineStr">
        <is>
          <t>Autônomo × CNPJ — Lucro Presumido (mensal)</t>
        </is>
      </c>
      <c r="C256" s="6" t="inlineStr">
        <is>
          <t>Receita R$ 15.000/mês, despesas R$ 1.000</t>
        </is>
      </c>
      <c r="D256" s="5" t="inlineStr">
        <is>
          <t>INSS patronal</t>
        </is>
      </c>
      <c r="E256" s="7" t="n">
        <v>324.2</v>
      </c>
      <c r="F256" s="8" t="n"/>
      <c r="G256" s="7">
        <f>IF(F256="","",E256-F256)</f>
        <v/>
      </c>
      <c r="H256" s="5" t="n"/>
      <c r="I256" s="6" t="n"/>
    </row>
    <row r="257">
      <c r="A257" s="5" t="inlineStr">
        <is>
          <t>AU2-LP</t>
        </is>
      </c>
      <c r="B257" s="5" t="inlineStr">
        <is>
          <t>Autônomo × CNPJ — Lucro Presumido (mensal)</t>
        </is>
      </c>
      <c r="C257" s="6" t="inlineStr">
        <is>
          <t>Receita R$ 15.000/mês, despesas R$ 1.000</t>
        </is>
      </c>
      <c r="D257" s="5" t="inlineStr">
        <is>
          <t>INSS sobre pró-labore (11%)</t>
        </is>
      </c>
      <c r="E257" s="7" t="n">
        <v>178.31</v>
      </c>
      <c r="F257" s="8" t="n"/>
      <c r="G257" s="7">
        <f>IF(F257="","",E257-F257)</f>
        <v/>
      </c>
      <c r="H257" s="5" t="n"/>
      <c r="I257" s="6" t="n"/>
    </row>
    <row r="258">
      <c r="A258" s="5" t="inlineStr">
        <is>
          <t>AU2-LP</t>
        </is>
      </c>
      <c r="B258" s="5" t="inlineStr">
        <is>
          <t>Autônomo × CNPJ — Lucro Presumido (mensal)</t>
        </is>
      </c>
      <c r="C258" s="6" t="inlineStr">
        <is>
          <t>Receita R$ 15.000/mês, despesas R$ 1.000</t>
        </is>
      </c>
      <c r="D258" s="5" t="inlineStr">
        <is>
          <t>IRPF sobre pró-labore</t>
        </is>
      </c>
      <c r="E258" s="7" t="n">
        <v>0</v>
      </c>
      <c r="F258" s="8" t="n"/>
      <c r="G258" s="7">
        <f>IF(F258="","",E258-F258)</f>
        <v/>
      </c>
      <c r="H258" s="5" t="n"/>
      <c r="I258" s="6" t="n"/>
    </row>
    <row r="259">
      <c r="A259" s="9" t="inlineStr">
        <is>
          <t>AU2-LP</t>
        </is>
      </c>
      <c r="B259" s="9" t="inlineStr">
        <is>
          <t>Autônomo × CNPJ — Lucro Presumido (mensal)</t>
        </is>
      </c>
      <c r="C259" s="10" t="inlineStr">
        <is>
          <t>Receita R$ 15.000/mês, despesas R$ 1.000</t>
        </is>
      </c>
      <c r="D259" s="9" t="inlineStr">
        <is>
          <t>TOTAL</t>
        </is>
      </c>
      <c r="E259" s="11">
        <f>SUM(E251:E258)</f>
        <v/>
      </c>
      <c r="F259" s="12" t="n"/>
      <c r="G259" s="11">
        <f>IF(F259="","",E259-F259)</f>
        <v/>
      </c>
      <c r="H259" s="9" t="n"/>
      <c r="I259" s="10" t="n"/>
    </row>
    <row r="260">
      <c r="A260" s="13" t="inlineStr">
        <is>
          <t>AU3-PF</t>
        </is>
      </c>
      <c r="B260" s="13" t="inlineStr">
        <is>
          <t>Autônomo × CNPJ — Autônomo (pessoa física) (mensal)</t>
        </is>
      </c>
      <c r="C260" s="14" t="inlineStr">
        <is>
          <t>Receita R$ 40.000/mês, 1 dependente</t>
        </is>
      </c>
      <c r="D260" s="13" t="inlineStr">
        <is>
          <t>INSS (20%)</t>
        </is>
      </c>
      <c r="E260" s="15" t="n">
        <v>1695.11</v>
      </c>
      <c r="F260" s="8" t="n"/>
      <c r="G260" s="15">
        <f>IF(F260="","",E260-F260)</f>
        <v/>
      </c>
      <c r="H260" s="13" t="n"/>
      <c r="I260" s="14" t="n"/>
    </row>
    <row r="261">
      <c r="A261" s="13" t="inlineStr">
        <is>
          <t>AU3-PF</t>
        </is>
      </c>
      <c r="B261" s="13" t="inlineStr">
        <is>
          <t>Autônomo × CNPJ — Autônomo (pessoa física) (mensal)</t>
        </is>
      </c>
      <c r="C261" s="14" t="inlineStr">
        <is>
          <t>Receita R$ 40.000/mês, 1 dependente</t>
        </is>
      </c>
      <c r="D261" s="13" t="inlineStr">
        <is>
          <t>IRPF (carnê-leão)</t>
        </is>
      </c>
      <c r="E261" s="15" t="n">
        <v>9572.98</v>
      </c>
      <c r="F261" s="8" t="n"/>
      <c r="G261" s="15">
        <f>IF(F261="","",E261-F261)</f>
        <v/>
      </c>
      <c r="H261" s="13" t="n"/>
      <c r="I261" s="14" t="n"/>
    </row>
    <row r="262">
      <c r="A262" s="16" t="inlineStr">
        <is>
          <t>AU3-PF</t>
        </is>
      </c>
      <c r="B262" s="16" t="inlineStr">
        <is>
          <t>Autônomo × CNPJ — Autônomo (pessoa física) (mensal)</t>
        </is>
      </c>
      <c r="C262" s="17" t="inlineStr">
        <is>
          <t>Receita R$ 40.000/mês, 1 dependente</t>
        </is>
      </c>
      <c r="D262" s="16" t="inlineStr">
        <is>
          <t>TOTAL</t>
        </is>
      </c>
      <c r="E262" s="18">
        <f>SUM(E260:E261)</f>
        <v/>
      </c>
      <c r="F262" s="12" t="n"/>
      <c r="G262" s="18">
        <f>IF(F262="","",E262-F262)</f>
        <v/>
      </c>
      <c r="H262" s="16" t="n"/>
      <c r="I262" s="17" t="n"/>
    </row>
    <row r="263">
      <c r="A263" s="5" t="inlineStr">
        <is>
          <t>AU3-SN</t>
        </is>
      </c>
      <c r="B263" s="5" t="inlineStr">
        <is>
          <t>Autônomo × CNPJ — Simples Nacional (mensal)</t>
        </is>
      </c>
      <c r="C263" s="6" t="inlineStr">
        <is>
          <t>Receita R$ 40.000/mês, 1 dependente</t>
        </is>
      </c>
      <c r="D263" s="5" t="inlineStr">
        <is>
          <t>DAS</t>
        </is>
      </c>
      <c r="E263" s="7" t="n">
        <v>3930</v>
      </c>
      <c r="F263" s="8" t="n"/>
      <c r="G263" s="7">
        <f>IF(F263="","",E263-F263)</f>
        <v/>
      </c>
      <c r="H263" s="5" t="n"/>
      <c r="I263" s="6" t="n"/>
    </row>
    <row r="264">
      <c r="A264" s="5" t="inlineStr">
        <is>
          <t>AU3-SN</t>
        </is>
      </c>
      <c r="B264" s="5" t="inlineStr">
        <is>
          <t>Autônomo × CNPJ — Simples Nacional (mensal)</t>
        </is>
      </c>
      <c r="C264" s="6" t="inlineStr">
        <is>
          <t>Receita R$ 40.000/mês, 1 dependente</t>
        </is>
      </c>
      <c r="D264" s="5" t="inlineStr">
        <is>
          <t>INSS sobre pró-labore (11%)</t>
        </is>
      </c>
      <c r="E264" s="7" t="n">
        <v>932.3099999999999</v>
      </c>
      <c r="F264" s="8" t="n"/>
      <c r="G264" s="7">
        <f>IF(F264="","",E264-F264)</f>
        <v/>
      </c>
      <c r="H264" s="5" t="n"/>
      <c r="I264" s="6" t="n"/>
    </row>
    <row r="265">
      <c r="A265" s="5" t="inlineStr">
        <is>
          <t>AU3-SN</t>
        </is>
      </c>
      <c r="B265" s="5" t="inlineStr">
        <is>
          <t>Autônomo × CNPJ — Simples Nacional (mensal)</t>
        </is>
      </c>
      <c r="C265" s="6" t="inlineStr">
        <is>
          <t>Receita R$ 40.000/mês, 1 dependente</t>
        </is>
      </c>
      <c r="D265" s="5" t="inlineStr">
        <is>
          <t>IRPF sobre pró-labore</t>
        </is>
      </c>
      <c r="E265" s="7" t="n">
        <v>1914.89</v>
      </c>
      <c r="F265" s="8" t="n"/>
      <c r="G265" s="7">
        <f>IF(F265="","",E265-F265)</f>
        <v/>
      </c>
      <c r="H265" s="5" t="n"/>
      <c r="I265" s="6" t="n"/>
    </row>
    <row r="266">
      <c r="A266" s="9" t="inlineStr">
        <is>
          <t>AU3-SN</t>
        </is>
      </c>
      <c r="B266" s="9" t="inlineStr">
        <is>
          <t>Autônomo × CNPJ — Simples Nacional (mensal)</t>
        </is>
      </c>
      <c r="C266" s="10" t="inlineStr">
        <is>
          <t>Receita R$ 40.000/mês, 1 dependente</t>
        </is>
      </c>
      <c r="D266" s="9" t="inlineStr">
        <is>
          <t>TOTAL</t>
        </is>
      </c>
      <c r="E266" s="11">
        <f>SUM(E263:E265)</f>
        <v/>
      </c>
      <c r="F266" s="12" t="n"/>
      <c r="G266" s="11">
        <f>IF(F266="","",E266-F266)</f>
        <v/>
      </c>
      <c r="H266" s="9" t="n"/>
      <c r="I266" s="10" t="n"/>
    </row>
    <row r="267">
      <c r="A267" s="13" t="inlineStr">
        <is>
          <t>AU3-LP</t>
        </is>
      </c>
      <c r="B267" s="13" t="inlineStr">
        <is>
          <t>Autônomo × CNPJ — Lucro Presumido (mensal)</t>
        </is>
      </c>
      <c r="C267" s="14" t="inlineStr">
        <is>
          <t>Receita R$ 40.000/mês, 1 dependente</t>
        </is>
      </c>
      <c r="D267" s="13" t="inlineStr">
        <is>
          <t>IRPJ</t>
        </is>
      </c>
      <c r="E267" s="15" t="n">
        <v>1920</v>
      </c>
      <c r="F267" s="8" t="n"/>
      <c r="G267" s="15">
        <f>IF(F267="","",E267-F267)</f>
        <v/>
      </c>
      <c r="H267" s="13" t="n"/>
      <c r="I267" s="14" t="n"/>
    </row>
    <row r="268">
      <c r="A268" s="13" t="inlineStr">
        <is>
          <t>AU3-LP</t>
        </is>
      </c>
      <c r="B268" s="13" t="inlineStr">
        <is>
          <t>Autônomo × CNPJ — Lucro Presumido (mensal)</t>
        </is>
      </c>
      <c r="C268" s="14" t="inlineStr">
        <is>
          <t>Receita R$ 40.000/mês, 1 dependente</t>
        </is>
      </c>
      <c r="D268" s="13" t="inlineStr">
        <is>
          <t>CSLL</t>
        </is>
      </c>
      <c r="E268" s="15" t="n">
        <v>1152</v>
      </c>
      <c r="F268" s="8" t="n"/>
      <c r="G268" s="15">
        <f>IF(F268="","",E268-F268)</f>
        <v/>
      </c>
      <c r="H268" s="13" t="n"/>
      <c r="I268" s="14" t="n"/>
    </row>
    <row r="269">
      <c r="A269" s="13" t="inlineStr">
        <is>
          <t>AU3-LP</t>
        </is>
      </c>
      <c r="B269" s="13" t="inlineStr">
        <is>
          <t>Autônomo × CNPJ — Lucro Presumido (mensal)</t>
        </is>
      </c>
      <c r="C269" s="14" t="inlineStr">
        <is>
          <t>Receita R$ 40.000/mês, 1 dependente</t>
        </is>
      </c>
      <c r="D269" s="13" t="inlineStr">
        <is>
          <t>PIS</t>
        </is>
      </c>
      <c r="E269" s="15" t="n">
        <v>260</v>
      </c>
      <c r="F269" s="8" t="n"/>
      <c r="G269" s="15">
        <f>IF(F269="","",E269-F269)</f>
        <v/>
      </c>
      <c r="H269" s="13" t="n"/>
      <c r="I269" s="14" t="n"/>
    </row>
    <row r="270">
      <c r="A270" s="13" t="inlineStr">
        <is>
          <t>AU3-LP</t>
        </is>
      </c>
      <c r="B270" s="13" t="inlineStr">
        <is>
          <t>Autônomo × CNPJ — Lucro Presumido (mensal)</t>
        </is>
      </c>
      <c r="C270" s="14" t="inlineStr">
        <is>
          <t>Receita R$ 40.000/mês, 1 dependente</t>
        </is>
      </c>
      <c r="D270" s="13" t="inlineStr">
        <is>
          <t>Cofins</t>
        </is>
      </c>
      <c r="E270" s="15" t="n">
        <v>1200</v>
      </c>
      <c r="F270" s="8" t="n"/>
      <c r="G270" s="15">
        <f>IF(F270="","",E270-F270)</f>
        <v/>
      </c>
      <c r="H270" s="13" t="n"/>
      <c r="I270" s="14" t="n"/>
    </row>
    <row r="271">
      <c r="A271" s="13" t="inlineStr">
        <is>
          <t>AU3-LP</t>
        </is>
      </c>
      <c r="B271" s="13" t="inlineStr">
        <is>
          <t>Autônomo × CNPJ — Lucro Presumido (mensal)</t>
        </is>
      </c>
      <c r="C271" s="14" t="inlineStr">
        <is>
          <t>Receita R$ 40.000/mês, 1 dependente</t>
        </is>
      </c>
      <c r="D271" s="13" t="inlineStr">
        <is>
          <t>ISS</t>
        </is>
      </c>
      <c r="E271" s="15" t="n">
        <v>2000</v>
      </c>
      <c r="F271" s="8" t="n"/>
      <c r="G271" s="15">
        <f>IF(F271="","",E271-F271)</f>
        <v/>
      </c>
      <c r="H271" s="13" t="n"/>
      <c r="I271" s="14" t="n"/>
    </row>
    <row r="272">
      <c r="A272" s="13" t="inlineStr">
        <is>
          <t>AU3-LP</t>
        </is>
      </c>
      <c r="B272" s="13" t="inlineStr">
        <is>
          <t>Autônomo × CNPJ — Lucro Presumido (mensal)</t>
        </is>
      </c>
      <c r="C272" s="14" t="inlineStr">
        <is>
          <t>Receita R$ 40.000/mês, 1 dependente</t>
        </is>
      </c>
      <c r="D272" s="13" t="inlineStr">
        <is>
          <t>INSS patronal</t>
        </is>
      </c>
      <c r="E272" s="15" t="n">
        <v>324.2</v>
      </c>
      <c r="F272" s="8" t="n"/>
      <c r="G272" s="15">
        <f>IF(F272="","",E272-F272)</f>
        <v/>
      </c>
      <c r="H272" s="13" t="n"/>
      <c r="I272" s="14" t="n"/>
    </row>
    <row r="273">
      <c r="A273" s="13" t="inlineStr">
        <is>
          <t>AU3-LP</t>
        </is>
      </c>
      <c r="B273" s="13" t="inlineStr">
        <is>
          <t>Autônomo × CNPJ — Lucro Presumido (mensal)</t>
        </is>
      </c>
      <c r="C273" s="14" t="inlineStr">
        <is>
          <t>Receita R$ 40.000/mês, 1 dependente</t>
        </is>
      </c>
      <c r="D273" s="13" t="inlineStr">
        <is>
          <t>INSS sobre pró-labore (11%)</t>
        </is>
      </c>
      <c r="E273" s="15" t="n">
        <v>178.31</v>
      </c>
      <c r="F273" s="8" t="n"/>
      <c r="G273" s="15">
        <f>IF(F273="","",E273-F273)</f>
        <v/>
      </c>
      <c r="H273" s="13" t="n"/>
      <c r="I273" s="14" t="n"/>
    </row>
    <row r="274">
      <c r="A274" s="13" t="inlineStr">
        <is>
          <t>AU3-LP</t>
        </is>
      </c>
      <c r="B274" s="13" t="inlineStr">
        <is>
          <t>Autônomo × CNPJ — Lucro Presumido (mensal)</t>
        </is>
      </c>
      <c r="C274" s="14" t="inlineStr">
        <is>
          <t>Receita R$ 40.000/mês, 1 dependente</t>
        </is>
      </c>
      <c r="D274" s="13" t="inlineStr">
        <is>
          <t>IRPF sobre pró-labore</t>
        </is>
      </c>
      <c r="E274" s="15" t="n">
        <v>0</v>
      </c>
      <c r="F274" s="8" t="n"/>
      <c r="G274" s="15">
        <f>IF(F274="","",E274-F274)</f>
        <v/>
      </c>
      <c r="H274" s="13" t="n"/>
      <c r="I274" s="14" t="n"/>
    </row>
    <row r="275">
      <c r="A275" s="16" t="inlineStr">
        <is>
          <t>AU3-LP</t>
        </is>
      </c>
      <c r="B275" s="16" t="inlineStr">
        <is>
          <t>Autônomo × CNPJ — Lucro Presumido (mensal)</t>
        </is>
      </c>
      <c r="C275" s="17" t="inlineStr">
        <is>
          <t>Receita R$ 40.000/mês, 1 dependente</t>
        </is>
      </c>
      <c r="D275" s="16" t="inlineStr">
        <is>
          <t>TOTAL</t>
        </is>
      </c>
      <c r="E275" s="18">
        <f>SUM(E267:E274)</f>
        <v/>
      </c>
      <c r="F275" s="12" t="n"/>
      <c r="G275" s="18">
        <f>IF(F275="","",E275-F275)</f>
        <v/>
      </c>
      <c r="H275" s="16" t="n"/>
      <c r="I275" s="17" t="n"/>
    </row>
    <row r="276">
      <c r="A276" s="5" t="inlineStr">
        <is>
          <t>REC1</t>
        </is>
      </c>
      <c r="B276" s="5" t="inlineStr">
        <is>
          <t>Recuperação: PIS/Cofins monofásico e ICMS-ST (jan/2026)</t>
        </is>
      </c>
      <c r="C276" s="6" t="inlineStr">
        <is>
          <t>Comércio (Anexo I), RBT12 R$ 1.200.000; vendas de R$ 10.000 em monofásicos e R$ 20.000 com ST</t>
        </is>
      </c>
      <c r="D276" s="5" t="inlineStr">
        <is>
          <t>PIS/Cofins pagos a mais (produtos monofásicos)</t>
        </is>
      </c>
      <c r="E276" s="7" t="n">
        <v>136.79</v>
      </c>
      <c r="F276" s="8" t="n"/>
      <c r="G276" s="7">
        <f>IF(F276="","",E276-F276)</f>
        <v/>
      </c>
      <c r="H276" s="5" t="n"/>
      <c r="I276" s="6" t="n"/>
    </row>
    <row r="277">
      <c r="A277" s="5" t="inlineStr">
        <is>
          <t>REC1</t>
        </is>
      </c>
      <c r="B277" s="5" t="inlineStr">
        <is>
          <t>Recuperação: PIS/Cofins monofásico e ICMS-ST (jan/2026)</t>
        </is>
      </c>
      <c r="C277" s="6" t="inlineStr">
        <is>
          <t>Comércio (Anexo I), RBT12 R$ 1.200.000; vendas de R$ 10.000 em monofásicos e R$ 20.000 com ST</t>
        </is>
      </c>
      <c r="D277" s="5" t="inlineStr">
        <is>
          <t>ICMS pago a mais (produtos com ST)</t>
        </is>
      </c>
      <c r="E277" s="7" t="n">
        <v>591.28</v>
      </c>
      <c r="F277" s="8" t="n"/>
      <c r="G277" s="7">
        <f>IF(F277="","",E277-F277)</f>
        <v/>
      </c>
      <c r="H277" s="5" t="n"/>
      <c r="I277" s="6" t="n"/>
    </row>
    <row r="278">
      <c r="A278" s="9" t="inlineStr">
        <is>
          <t>REC1</t>
        </is>
      </c>
      <c r="B278" s="9" t="inlineStr">
        <is>
          <t>Recuperação: PIS/Cofins monofásico e ICMS-ST (jan/2026)</t>
        </is>
      </c>
      <c r="C278" s="10" t="inlineStr">
        <is>
          <t>Comércio (Anexo I), RBT12 R$ 1.200.000; vendas de R$ 10.000 em monofásicos e R$ 20.000 com ST</t>
        </is>
      </c>
      <c r="D278" s="9" t="inlineStr">
        <is>
          <t>TOTAL</t>
        </is>
      </c>
      <c r="E278" s="11">
        <f>SUM(E276:E277)</f>
        <v/>
      </c>
      <c r="F278" s="12" t="n"/>
      <c r="G278" s="11">
        <f>IF(F278="","",E278-F278)</f>
        <v/>
      </c>
      <c r="H278" s="9" t="n"/>
      <c r="I278" s="10" t="n"/>
    </row>
    <row r="279">
      <c r="A279" s="13" t="inlineStr">
        <is>
          <t>REC2</t>
        </is>
      </c>
      <c r="B279" s="13" t="inlineStr">
        <is>
          <t>Recuperação: PIS/Cofins monofásico e ICMS-ST (jan/2026)</t>
        </is>
      </c>
      <c r="C279" s="14" t="inlineStr">
        <is>
          <t>Comércio (Anexo I), RBT12 R$ 4.800.000 (6ª faixa: ICMS fora do DAS); R$ 10.000 em cada</t>
        </is>
      </c>
      <c r="D279" s="13" t="inlineStr">
        <is>
          <t>PIS/Cofins pagos a mais (produtos monofásicos)</t>
        </is>
      </c>
      <c r="E279" s="15" t="n">
        <v>382.7</v>
      </c>
      <c r="F279" s="8" t="n"/>
      <c r="G279" s="15">
        <f>IF(F279="","",E279-F279)</f>
        <v/>
      </c>
      <c r="H279" s="13" t="n"/>
      <c r="I279" s="14" t="n"/>
    </row>
    <row r="280">
      <c r="A280" s="13" t="inlineStr">
        <is>
          <t>REC2</t>
        </is>
      </c>
      <c r="B280" s="13" t="inlineStr">
        <is>
          <t>Recuperação: PIS/Cofins monofásico e ICMS-ST (jan/2026)</t>
        </is>
      </c>
      <c r="C280" s="14" t="inlineStr">
        <is>
          <t>Comércio (Anexo I), RBT12 R$ 4.800.000 (6ª faixa: ICMS fora do DAS); R$ 10.000 em cada</t>
        </is>
      </c>
      <c r="D280" s="13" t="inlineStr">
        <is>
          <t>ICMS pago a mais (produtos com ST)</t>
        </is>
      </c>
      <c r="E280" s="15" t="n">
        <v>0</v>
      </c>
      <c r="F280" s="8" t="n"/>
      <c r="G280" s="15">
        <f>IF(F280="","",E280-F280)</f>
        <v/>
      </c>
      <c r="H280" s="13" t="n"/>
      <c r="I280" s="14" t="n"/>
    </row>
    <row r="281">
      <c r="A281" s="16" t="inlineStr">
        <is>
          <t>REC2</t>
        </is>
      </c>
      <c r="B281" s="16" t="inlineStr">
        <is>
          <t>Recuperação: PIS/Cofins monofásico e ICMS-ST (jan/2026)</t>
        </is>
      </c>
      <c r="C281" s="17" t="inlineStr">
        <is>
          <t>Comércio (Anexo I), RBT12 R$ 4.800.000 (6ª faixa: ICMS fora do DAS); R$ 10.000 em cada</t>
        </is>
      </c>
      <c r="D281" s="16" t="inlineStr">
        <is>
          <t>TOTAL</t>
        </is>
      </c>
      <c r="E281" s="18">
        <f>SUM(E279:E280)</f>
        <v/>
      </c>
      <c r="F281" s="12" t="n"/>
      <c r="G281" s="18">
        <f>IF(F281="","",E281-F281)</f>
        <v/>
      </c>
      <c r="H281" s="16" t="n"/>
      <c r="I281" s="17" t="n"/>
    </row>
    <row r="282">
      <c r="A282" s="5" t="inlineStr">
        <is>
          <t>REC3</t>
        </is>
      </c>
      <c r="B282" s="5" t="inlineStr">
        <is>
          <t>Recuperação: PIS/Cofins monofásico e ICMS-ST (jan/2026)</t>
        </is>
      </c>
      <c r="C282" s="6" t="inlineStr">
        <is>
          <t>Indústria (Anexo II), RBT12 R$ 600.000; R$ 8.000 em monofásicos e R$ 12.000 com ST</t>
        </is>
      </c>
      <c r="D282" s="5" t="inlineStr">
        <is>
          <t>PIS/Cofins pagos a mais (produtos monofásicos)</t>
        </is>
      </c>
      <c r="E282" s="7" t="n">
        <v>86.13</v>
      </c>
      <c r="F282" s="8" t="n"/>
      <c r="G282" s="7">
        <f>IF(F282="","",E282-F282)</f>
        <v/>
      </c>
      <c r="H282" s="5" t="n"/>
      <c r="I282" s="6" t="n"/>
    </row>
    <row r="283">
      <c r="A283" s="5" t="inlineStr">
        <is>
          <t>REC3</t>
        </is>
      </c>
      <c r="B283" s="5" t="inlineStr">
        <is>
          <t>Recuperação: PIS/Cofins monofásico e ICMS-ST (jan/2026)</t>
        </is>
      </c>
      <c r="C283" s="6" t="inlineStr">
        <is>
          <t>Indústria (Anexo II), RBT12 R$ 600.000; R$ 8.000 em monofásicos e R$ 12.000 com ST</t>
        </is>
      </c>
      <c r="D283" s="5" t="inlineStr">
        <is>
          <t>ICMS pago a mais (produtos com ST)</t>
        </is>
      </c>
      <c r="E283" s="7" t="n">
        <v>295.3</v>
      </c>
      <c r="F283" s="8" t="n"/>
      <c r="G283" s="7">
        <f>IF(F283="","",E283-F283)</f>
        <v/>
      </c>
      <c r="H283" s="5" t="n"/>
      <c r="I283" s="6" t="n"/>
    </row>
    <row r="284">
      <c r="A284" s="9" t="inlineStr">
        <is>
          <t>REC3</t>
        </is>
      </c>
      <c r="B284" s="9" t="inlineStr">
        <is>
          <t>Recuperação: PIS/Cofins monofásico e ICMS-ST (jan/2026)</t>
        </is>
      </c>
      <c r="C284" s="10" t="inlineStr">
        <is>
          <t>Indústria (Anexo II), RBT12 R$ 600.000; R$ 8.000 em monofásicos e R$ 12.000 com ST</t>
        </is>
      </c>
      <c r="D284" s="9" t="inlineStr">
        <is>
          <t>TOTAL</t>
        </is>
      </c>
      <c r="E284" s="11">
        <f>SUM(E282:E283)</f>
        <v/>
      </c>
      <c r="F284" s="12" t="n"/>
      <c r="G284" s="11">
        <f>IF(F284="","",E284-F284)</f>
        <v/>
      </c>
      <c r="H284" s="9" t="n"/>
      <c r="I284" s="10" t="n"/>
    </row>
  </sheetData>
  <autoFilter ref="A1:I284"/>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showDropDown="0" showInputMessage="0" showErrorMessage="0" allowBlank="1" type="list">
      <formula1>"Sim,Não,Revisar"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534"/>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90" customWidth="1" min="3" max="3"/>
    <col width="18" customWidth="1" min="4" max="4"/>
    <col width="45" customWidth="1" min="5" max="5"/>
  </cols>
  <sheetData>
    <row r="1" ht="30" customHeight="1">
      <c r="A1" s="4" t="inlineStr">
        <is>
          <t>Caso</t>
        </is>
      </c>
      <c r="B1" s="4" t="inlineStr">
        <is>
          <t>Passo</t>
        </is>
      </c>
      <c r="C1" s="4" t="inlineStr">
        <is>
          <t>Fórmula</t>
        </is>
      </c>
      <c r="D1" s="4" t="inlineStr">
        <is>
          <t>Valor</t>
        </is>
      </c>
      <c r="E1" s="4" t="inlineStr">
        <is>
          <t>Base legal</t>
        </is>
      </c>
    </row>
    <row r="2">
      <c r="A2" s="5" t="inlineStr">
        <is>
          <t>E1-SN</t>
        </is>
      </c>
      <c r="B2" s="6" t="inlineStr">
        <is>
          <t>Fator R (folha 12 meses / RBT12)</t>
        </is>
      </c>
      <c r="C2" s="6" t="inlineStr">
        <is>
          <t>R$ 163.680,00 (salários + pró-labore + FGTS 8%) / R$ 600.000,00 = 27,28% -&gt; Anexo V</t>
        </is>
      </c>
      <c r="D2" s="19" t="n">
        <v>0.2728</v>
      </c>
      <c r="E2" s="6" t="inlineStr">
        <is>
          <t>LC 123/2006, art. 18, §5º-J, §5º-M e §24</t>
        </is>
      </c>
    </row>
    <row r="3">
      <c r="A3" s="5" t="inlineStr">
        <is>
          <t>E1-SN</t>
        </is>
      </c>
      <c r="B3" s="6" t="inlineStr">
        <is>
          <t>Alíquota efetiva - Anexo V, 3ª faixa</t>
        </is>
      </c>
      <c r="C3" s="6" t="inlineStr">
        <is>
          <t>(R$ 600.000,00 x 19,50% - R$ 9.900,00) / R$ 600.000,00 = 17,8500%</t>
        </is>
      </c>
      <c r="D3" s="19" t="n">
        <v>0.1785</v>
      </c>
      <c r="E3" s="6" t="inlineStr">
        <is>
          <t>LC 123/2006, art. 18, §1º e §1º-A</t>
        </is>
      </c>
    </row>
    <row r="4">
      <c r="A4" s="5" t="inlineStr">
        <is>
          <t>E1-SN</t>
        </is>
      </c>
      <c r="B4" s="6" t="inlineStr">
        <is>
          <t>DAS anual</t>
        </is>
      </c>
      <c r="C4" s="6" t="inlineStr">
        <is>
          <t>R$ 600.000,00 x 17,8500%</t>
        </is>
      </c>
      <c r="D4" s="7" t="n">
        <v>107100</v>
      </c>
      <c r="E4" s="6" t="inlineStr">
        <is>
          <t>LC 123/2006, art. 13</t>
        </is>
      </c>
    </row>
    <row r="5">
      <c r="A5" s="5" t="inlineStr">
        <is>
          <t>E1-LP</t>
        </is>
      </c>
      <c r="B5" s="6" t="inlineStr">
        <is>
          <t>Percentuais de presunção</t>
        </is>
      </c>
      <c r="C5" s="6" t="inlineStr">
        <is>
          <t>Prestação de serviços em geral: IRPJ 32,0%, CSLL 32,0%</t>
        </is>
      </c>
      <c r="D5" s="19" t="n">
        <v>0.32</v>
      </c>
      <c r="E5" s="6" t="inlineStr">
        <is>
          <t>Lei 9.249/1995, art. 15, §1º e art. 20</t>
        </is>
      </c>
    </row>
    <row r="6">
      <c r="A6" s="5" t="inlineStr">
        <is>
          <t>E1-LP</t>
        </is>
      </c>
      <c r="B6" s="6" t="inlineStr">
        <is>
          <t>1º tri - base presumida IRPJ</t>
        </is>
      </c>
      <c r="C6" s="6" t="inlineStr">
        <is>
          <t>R$ 150.000,00 x 32,0%</t>
        </is>
      </c>
      <c r="D6" s="7" t="n">
        <v>48000</v>
      </c>
      <c r="E6" s="6" t="inlineStr">
        <is>
          <t>Lei 9.249/1995, arts. 15 e 20</t>
        </is>
      </c>
    </row>
    <row r="7">
      <c r="A7" s="5" t="inlineStr">
        <is>
          <t>E1-LP</t>
        </is>
      </c>
      <c r="B7" s="6" t="inlineStr">
        <is>
          <t>1º tri - IRPJ</t>
        </is>
      </c>
      <c r="C7" s="6" t="inlineStr">
        <is>
          <t>R$ 48.000,00 x 15% + adicional 10% sobre o que exceder R$ 60.000,00</t>
        </is>
      </c>
      <c r="D7" s="7" t="n">
        <v>7200</v>
      </c>
      <c r="E7" s="6" t="inlineStr">
        <is>
          <t>Lei 9.430/1996, arts. 3º e 4º</t>
        </is>
      </c>
    </row>
    <row r="8">
      <c r="A8" s="5" t="inlineStr">
        <is>
          <t>E1-LP</t>
        </is>
      </c>
      <c r="B8" s="6" t="inlineStr">
        <is>
          <t>1º tri - base presumida CSLL</t>
        </is>
      </c>
      <c r="C8" s="6" t="inlineStr">
        <is>
          <t>R$ 150.000,00 x 32,0%</t>
        </is>
      </c>
      <c r="D8" s="7" t="n">
        <v>48000</v>
      </c>
      <c r="E8" s="6" t="inlineStr">
        <is>
          <t>Lei 9.249/1995, arts. 15 e 20</t>
        </is>
      </c>
    </row>
    <row r="9">
      <c r="A9" s="5" t="inlineStr">
        <is>
          <t>E1-LP</t>
        </is>
      </c>
      <c r="B9" s="6" t="inlineStr">
        <is>
          <t>1º tri - CSLL</t>
        </is>
      </c>
      <c r="C9" s="6" t="inlineStr">
        <is>
          <t>R$ 48.000,00 x 9%</t>
        </is>
      </c>
      <c r="D9" s="7" t="n">
        <v>4320</v>
      </c>
      <c r="E9" s="6" t="inlineStr">
        <is>
          <t>Lei 7.689/1988, art. 3º</t>
        </is>
      </c>
    </row>
    <row r="10">
      <c r="A10" s="5" t="inlineStr">
        <is>
          <t>E1-LP</t>
        </is>
      </c>
      <c r="B10" s="6" t="inlineStr">
        <is>
          <t>2º tri - base presumida IRPJ</t>
        </is>
      </c>
      <c r="C10" s="6" t="inlineStr">
        <is>
          <t>R$ 150.000,00 x 32,0%</t>
        </is>
      </c>
      <c r="D10" s="7" t="n">
        <v>48000</v>
      </c>
      <c r="E10" s="6" t="inlineStr">
        <is>
          <t>Lei 9.249/1995, arts. 15 e 20</t>
        </is>
      </c>
    </row>
    <row r="11">
      <c r="A11" s="5" t="inlineStr">
        <is>
          <t>E1-LP</t>
        </is>
      </c>
      <c r="B11" s="6" t="inlineStr">
        <is>
          <t>2º tri - IRPJ</t>
        </is>
      </c>
      <c r="C11" s="6" t="inlineStr">
        <is>
          <t>R$ 48.000,00 x 15% + adicional 10% sobre o que exceder R$ 60.000,00</t>
        </is>
      </c>
      <c r="D11" s="7" t="n">
        <v>7200</v>
      </c>
      <c r="E11" s="6" t="inlineStr">
        <is>
          <t>Lei 9.430/1996, arts. 3º e 4º</t>
        </is>
      </c>
    </row>
    <row r="12">
      <c r="A12" s="5" t="inlineStr">
        <is>
          <t>E1-LP</t>
        </is>
      </c>
      <c r="B12" s="6" t="inlineStr">
        <is>
          <t>2º tri - base presumida CSLL</t>
        </is>
      </c>
      <c r="C12" s="6" t="inlineStr">
        <is>
          <t>R$ 150.000,00 x 32,0%</t>
        </is>
      </c>
      <c r="D12" s="7" t="n">
        <v>48000</v>
      </c>
      <c r="E12" s="6" t="inlineStr">
        <is>
          <t>Lei 9.249/1995, arts. 15 e 20</t>
        </is>
      </c>
    </row>
    <row r="13">
      <c r="A13" s="5" t="inlineStr">
        <is>
          <t>E1-LP</t>
        </is>
      </c>
      <c r="B13" s="6" t="inlineStr">
        <is>
          <t>2º tri - CSLL</t>
        </is>
      </c>
      <c r="C13" s="6" t="inlineStr">
        <is>
          <t>R$ 48.000,00 x 9%</t>
        </is>
      </c>
      <c r="D13" s="7" t="n">
        <v>4320</v>
      </c>
      <c r="E13" s="6" t="inlineStr">
        <is>
          <t>Lei 7.689/1988, art. 3º</t>
        </is>
      </c>
    </row>
    <row r="14">
      <c r="A14" s="5" t="inlineStr">
        <is>
          <t>E1-LP</t>
        </is>
      </c>
      <c r="B14" s="6" t="inlineStr">
        <is>
          <t>3º tri - base presumida IRPJ</t>
        </is>
      </c>
      <c r="C14" s="6" t="inlineStr">
        <is>
          <t>R$ 150.000,00 x 32,0%</t>
        </is>
      </c>
      <c r="D14" s="7" t="n">
        <v>48000</v>
      </c>
      <c r="E14" s="6" t="inlineStr">
        <is>
          <t>Lei 9.249/1995, arts. 15 e 20</t>
        </is>
      </c>
    </row>
    <row r="15">
      <c r="A15" s="5" t="inlineStr">
        <is>
          <t>E1-LP</t>
        </is>
      </c>
      <c r="B15" s="6" t="inlineStr">
        <is>
          <t>3º tri - IRPJ</t>
        </is>
      </c>
      <c r="C15" s="6" t="inlineStr">
        <is>
          <t>R$ 48.000,00 x 15% + adicional 10% sobre o que exceder R$ 60.000,00</t>
        </is>
      </c>
      <c r="D15" s="7" t="n">
        <v>7200</v>
      </c>
      <c r="E15" s="6" t="inlineStr">
        <is>
          <t>Lei 9.430/1996, arts. 3º e 4º</t>
        </is>
      </c>
    </row>
    <row r="16">
      <c r="A16" s="5" t="inlineStr">
        <is>
          <t>E1-LP</t>
        </is>
      </c>
      <c r="B16" s="6" t="inlineStr">
        <is>
          <t>3º tri - base presumida CSLL</t>
        </is>
      </c>
      <c r="C16" s="6" t="inlineStr">
        <is>
          <t>R$ 150.000,00 x 32,0%</t>
        </is>
      </c>
      <c r="D16" s="7" t="n">
        <v>48000</v>
      </c>
      <c r="E16" s="6" t="inlineStr">
        <is>
          <t>Lei 9.249/1995, arts. 15 e 20</t>
        </is>
      </c>
    </row>
    <row r="17">
      <c r="A17" s="5" t="inlineStr">
        <is>
          <t>E1-LP</t>
        </is>
      </c>
      <c r="B17" s="6" t="inlineStr">
        <is>
          <t>3º tri - CSLL</t>
        </is>
      </c>
      <c r="C17" s="6" t="inlineStr">
        <is>
          <t>R$ 48.000,00 x 9%</t>
        </is>
      </c>
      <c r="D17" s="7" t="n">
        <v>4320</v>
      </c>
      <c r="E17" s="6" t="inlineStr">
        <is>
          <t>Lei 7.689/1988, art. 3º</t>
        </is>
      </c>
    </row>
    <row r="18">
      <c r="A18" s="5" t="inlineStr">
        <is>
          <t>E1-LP</t>
        </is>
      </c>
      <c r="B18" s="6" t="inlineStr">
        <is>
          <t>4º tri - base presumida IRPJ</t>
        </is>
      </c>
      <c r="C18" s="6" t="inlineStr">
        <is>
          <t>R$ 150.000,00 x 32,0%</t>
        </is>
      </c>
      <c r="D18" s="7" t="n">
        <v>48000</v>
      </c>
      <c r="E18" s="6" t="inlineStr">
        <is>
          <t>Lei 9.249/1995, arts. 15 e 20</t>
        </is>
      </c>
    </row>
    <row r="19">
      <c r="A19" s="5" t="inlineStr">
        <is>
          <t>E1-LP</t>
        </is>
      </c>
      <c r="B19" s="6" t="inlineStr">
        <is>
          <t>4º tri - IRPJ</t>
        </is>
      </c>
      <c r="C19" s="6" t="inlineStr">
        <is>
          <t>R$ 48.000,00 x 15% + adicional 10% sobre o que exceder R$ 60.000,00</t>
        </is>
      </c>
      <c r="D19" s="7" t="n">
        <v>7200</v>
      </c>
      <c r="E19" s="6" t="inlineStr">
        <is>
          <t>Lei 9.430/1996, arts. 3º e 4º</t>
        </is>
      </c>
    </row>
    <row r="20">
      <c r="A20" s="5" t="inlineStr">
        <is>
          <t>E1-LP</t>
        </is>
      </c>
      <c r="B20" s="6" t="inlineStr">
        <is>
          <t>4º tri - base presumida CSLL</t>
        </is>
      </c>
      <c r="C20" s="6" t="inlineStr">
        <is>
          <t>R$ 150.000,00 x 32,0%</t>
        </is>
      </c>
      <c r="D20" s="7" t="n">
        <v>48000</v>
      </c>
      <c r="E20" s="6" t="inlineStr">
        <is>
          <t>Lei 9.249/1995, arts. 15 e 20</t>
        </is>
      </c>
    </row>
    <row r="21">
      <c r="A21" s="5" t="inlineStr">
        <is>
          <t>E1-LP</t>
        </is>
      </c>
      <c r="B21" s="6" t="inlineStr">
        <is>
          <t>4º tri - CSLL</t>
        </is>
      </c>
      <c r="C21" s="6" t="inlineStr">
        <is>
          <t>R$ 48.000,00 x 9%</t>
        </is>
      </c>
      <c r="D21" s="7" t="n">
        <v>4320</v>
      </c>
      <c r="E21" s="6" t="inlineStr">
        <is>
          <t>Lei 7.689/1988, art. 3º</t>
        </is>
      </c>
    </row>
    <row r="22">
      <c r="A22" s="5" t="inlineStr">
        <is>
          <t>E1-LP</t>
        </is>
      </c>
      <c r="B22" s="6" t="inlineStr">
        <is>
          <t>PIS cumulativo</t>
        </is>
      </c>
      <c r="C22" s="6" t="inlineStr">
        <is>
          <t>R$ 600.000,00 x 0,65%</t>
        </is>
      </c>
      <c r="D22" s="7" t="n">
        <v>3900</v>
      </c>
      <c r="E22" s="6" t="inlineStr">
        <is>
          <t>Lei 9.715/1998</t>
        </is>
      </c>
    </row>
    <row r="23">
      <c r="A23" s="5" t="inlineStr">
        <is>
          <t>E1-LP</t>
        </is>
      </c>
      <c r="B23" s="6" t="inlineStr">
        <is>
          <t>Cofins cumulativa</t>
        </is>
      </c>
      <c r="C23" s="6" t="inlineStr">
        <is>
          <t>R$ 600.000,00 x 3,00%</t>
        </is>
      </c>
      <c r="D23" s="7" t="n">
        <v>18000</v>
      </c>
      <c r="E23" s="6" t="inlineStr">
        <is>
          <t>Lei 9.718/1998</t>
        </is>
      </c>
    </row>
    <row r="24">
      <c r="A24" s="5" t="inlineStr">
        <is>
          <t>E1-LP</t>
        </is>
      </c>
      <c r="B24" s="6" t="inlineStr">
        <is>
          <t>ISS</t>
        </is>
      </c>
      <c r="C24" s="6" t="inlineStr">
        <is>
          <t>R$ 600.000,00 x 5,00%</t>
        </is>
      </c>
      <c r="D24" s="7" t="n">
        <v>30000</v>
      </c>
      <c r="E24" s="6" t="inlineStr">
        <is>
          <t>LC 116/2003 e lei municipal</t>
        </is>
      </c>
    </row>
    <row r="25">
      <c r="A25" s="5" t="inlineStr">
        <is>
          <t>E1-LP</t>
        </is>
      </c>
      <c r="B25" s="6" t="inlineStr">
        <is>
          <t>INSS patronal sobre a folha CLT</t>
        </is>
      </c>
      <c r="C25" s="6" t="inlineStr">
        <is>
          <t>R$ 96.000,00 x (20,00% CPP + 2,00% RAT + 5,80% terceiros)</t>
        </is>
      </c>
      <c r="D25" s="7" t="n">
        <v>26688</v>
      </c>
      <c r="E25" s="6" t="inlineStr">
        <is>
          <t>Lei 8.212/1991, art. 22, I e II</t>
        </is>
      </c>
    </row>
    <row r="26">
      <c r="A26" s="5" t="inlineStr">
        <is>
          <t>E1-LP</t>
        </is>
      </c>
      <c r="B26" s="6" t="inlineStr">
        <is>
          <t>INSS patronal sobre o pró-labore</t>
        </is>
      </c>
      <c r="C26" s="6" t="inlineStr">
        <is>
          <t>R$ 60.000,00 x 20,00%</t>
        </is>
      </c>
      <c r="D26" s="7" t="n">
        <v>12000</v>
      </c>
      <c r="E26" s="6" t="inlineStr">
        <is>
          <t>Lei 8.212/1991, art. 22, III</t>
        </is>
      </c>
    </row>
    <row r="27">
      <c r="A27" s="5" t="inlineStr">
        <is>
          <t>E1-LR</t>
        </is>
      </c>
      <c r="B27" s="6" t="inlineStr">
        <is>
          <t>PIS - débito</t>
        </is>
      </c>
      <c r="C27" s="6" t="inlineStr">
        <is>
          <t>R$ 600.000,00 x 1,65%</t>
        </is>
      </c>
      <c r="D27" s="7" t="n">
        <v>9900</v>
      </c>
      <c r="E27" s="6" t="inlineStr">
        <is>
          <t>Lei 10.637/2002</t>
        </is>
      </c>
    </row>
    <row r="28">
      <c r="A28" s="5" t="inlineStr">
        <is>
          <t>E1-LR</t>
        </is>
      </c>
      <c r="B28" s="6" t="inlineStr">
        <is>
          <t>PIS - crédito</t>
        </is>
      </c>
      <c r="C28" s="6" t="inlineStr">
        <is>
          <t>(R$ 0,00 compras + R$ 0,00 despesas creditáveis) x 1,65%</t>
        </is>
      </c>
      <c r="D28" s="7" t="n">
        <v>0</v>
      </c>
      <c r="E28" s="6" t="inlineStr">
        <is>
          <t>Lei 10.637/2002, art. 3º</t>
        </is>
      </c>
    </row>
    <row r="29">
      <c r="A29" s="5" t="inlineStr">
        <is>
          <t>E1-LR</t>
        </is>
      </c>
      <c r="B29" s="6" t="inlineStr">
        <is>
          <t>Cofins - débito</t>
        </is>
      </c>
      <c r="C29" s="6" t="inlineStr">
        <is>
          <t>R$ 600.000,00 x 7,60%</t>
        </is>
      </c>
      <c r="D29" s="7" t="n">
        <v>45600</v>
      </c>
      <c r="E29" s="6" t="inlineStr">
        <is>
          <t>Lei 10.833/2003</t>
        </is>
      </c>
    </row>
    <row r="30">
      <c r="A30" s="5" t="inlineStr">
        <is>
          <t>E1-LR</t>
        </is>
      </c>
      <c r="B30" s="6" t="inlineStr">
        <is>
          <t>Cofins - crédito</t>
        </is>
      </c>
      <c r="C30" s="6" t="inlineStr">
        <is>
          <t>(R$ 0,00 compras + R$ 0,00 despesas creditáveis) x 7,60%</t>
        </is>
      </c>
      <c r="D30" s="7" t="n">
        <v>0</v>
      </c>
      <c r="E30" s="6" t="inlineStr">
        <is>
          <t>Lei 10.833/2003, art. 3º</t>
        </is>
      </c>
    </row>
    <row r="31">
      <c r="A31" s="5" t="inlineStr">
        <is>
          <t>E1-LR</t>
        </is>
      </c>
      <c r="B31" s="6" t="inlineStr">
        <is>
          <t>ISS</t>
        </is>
      </c>
      <c r="C31" s="6" t="inlineStr">
        <is>
          <t>R$ 600.000,00 x 5,00%</t>
        </is>
      </c>
      <c r="D31" s="7" t="n">
        <v>30000</v>
      </c>
      <c r="E31" s="6" t="inlineStr">
        <is>
          <t>LC 116/2003 e lei municipal</t>
        </is>
      </c>
    </row>
    <row r="32">
      <c r="A32" s="5" t="inlineStr">
        <is>
          <t>E1-LR</t>
        </is>
      </c>
      <c r="B32" s="6" t="inlineStr">
        <is>
          <t>INSS patronal sobre a folha CLT</t>
        </is>
      </c>
      <c r="C32" s="6" t="inlineStr">
        <is>
          <t>R$ 96.000,00 x (20,00% CPP + 2,00% RAT + 5,80% terceiros)</t>
        </is>
      </c>
      <c r="D32" s="7" t="n">
        <v>26688</v>
      </c>
      <c r="E32" s="6" t="inlineStr">
        <is>
          <t>Lei 8.212/1991, art. 22, I e II</t>
        </is>
      </c>
    </row>
    <row r="33">
      <c r="A33" s="5" t="inlineStr">
        <is>
          <t>E1-LR</t>
        </is>
      </c>
      <c r="B33" s="6" t="inlineStr">
        <is>
          <t>INSS patronal sobre o pró-labore</t>
        </is>
      </c>
      <c r="C33" s="6" t="inlineStr">
        <is>
          <t>R$ 60.000,00 x 20,00%</t>
        </is>
      </c>
      <c r="D33" s="7" t="n">
        <v>12000</v>
      </c>
      <c r="E33" s="6" t="inlineStr">
        <is>
          <t>Lei 8.212/1991, art. 22, III</t>
        </is>
      </c>
    </row>
    <row r="34">
      <c r="A34" s="5" t="inlineStr">
        <is>
          <t>E1-LR</t>
        </is>
      </c>
      <c r="B34" s="6" t="inlineStr">
        <is>
          <t>Lucro antes do IRPJ/CSLL</t>
        </is>
      </c>
      <c r="C34" s="6" t="inlineStr">
        <is>
          <t>R$ 600.000,00 receita - R$ 0,00 compras - R$ 0,00 despesas - R$ 156.000,00 folha e pró-labore - R$ 7.680,00 FGTS - R$ 124.188,00 tributos dedutíveis</t>
        </is>
      </c>
      <c r="D34" s="7" t="n">
        <v>312132</v>
      </c>
      <c r="E34" s="6" t="inlineStr">
        <is>
          <t>Lei 6.404/1976 (DRE)</t>
        </is>
      </c>
    </row>
    <row r="35">
      <c r="A35" s="5" t="inlineStr">
        <is>
          <t>E1-LR</t>
        </is>
      </c>
      <c r="B35" s="6" t="inlineStr">
        <is>
          <t>IRPJ</t>
        </is>
      </c>
      <c r="C35" s="6" t="inlineStr">
        <is>
          <t>R$ 312.132,00 x 15% + 10% sobre o que exceder R$ 240.000,00</t>
        </is>
      </c>
      <c r="D35" s="7" t="n">
        <v>54033</v>
      </c>
      <c r="E35" s="6" t="inlineStr">
        <is>
          <t>Lei 9.249/1995, art. 3º; Lei 9.430/1996, art. 2º</t>
        </is>
      </c>
    </row>
    <row r="36">
      <c r="A36" s="5" t="inlineStr">
        <is>
          <t>E1-LR</t>
        </is>
      </c>
      <c r="B36" s="6" t="inlineStr">
        <is>
          <t>CSLL</t>
        </is>
      </c>
      <c r="C36" s="6" t="inlineStr">
        <is>
          <t>R$ 312.132,00 x 9%</t>
        </is>
      </c>
      <c r="D36" s="7" t="n">
        <v>28091.88</v>
      </c>
      <c r="E36" s="6" t="inlineStr">
        <is>
          <t>Lei 7.689/1988, art. 3º</t>
        </is>
      </c>
    </row>
    <row r="37">
      <c r="A37" s="5" t="inlineStr">
        <is>
          <t>E2-SN</t>
        </is>
      </c>
      <c r="B37" s="6" t="inlineStr">
        <is>
          <t>Fator R (folha 12 meses / RBT12)</t>
        </is>
      </c>
      <c r="C37" s="6" t="inlineStr">
        <is>
          <t>R$ 175.680,00 (salários + pró-labore + FGTS 8%) / R$ 600.000,00 = 29,28% -&gt; Anexo III</t>
        </is>
      </c>
      <c r="D37" s="19" t="n">
        <v>0.2928</v>
      </c>
      <c r="E37" s="6" t="inlineStr">
        <is>
          <t>LC 123/2006, art. 18, §5º-J, §5º-M e §24</t>
        </is>
      </c>
    </row>
    <row r="38">
      <c r="A38" s="5" t="inlineStr">
        <is>
          <t>E2-SN</t>
        </is>
      </c>
      <c r="B38" s="6" t="inlineStr">
        <is>
          <t>Alíquota efetiva - Anexo III, 3ª faixa</t>
        </is>
      </c>
      <c r="C38" s="6" t="inlineStr">
        <is>
          <t>(R$ 600.000,00 x 13,50% - R$ 17.640,00) / R$ 600.000,00 = 10,5600%</t>
        </is>
      </c>
      <c r="D38" s="19" t="n">
        <v>0.1056</v>
      </c>
      <c r="E38" s="6" t="inlineStr">
        <is>
          <t>LC 123/2006, art. 18, §1º e §1º-A</t>
        </is>
      </c>
    </row>
    <row r="39">
      <c r="A39" s="5" t="inlineStr">
        <is>
          <t>E2-SN</t>
        </is>
      </c>
      <c r="B39" s="6" t="inlineStr">
        <is>
          <t>DAS anual</t>
        </is>
      </c>
      <c r="C39" s="6" t="inlineStr">
        <is>
          <t>R$ 600.000,00 x 10,5600%</t>
        </is>
      </c>
      <c r="D39" s="7" t="n">
        <v>63360</v>
      </c>
      <c r="E39" s="6" t="inlineStr">
        <is>
          <t>LC 123/2006, art. 13</t>
        </is>
      </c>
    </row>
    <row r="40">
      <c r="A40" s="5" t="inlineStr">
        <is>
          <t>E2-LP</t>
        </is>
      </c>
      <c r="B40" s="6" t="inlineStr">
        <is>
          <t>Percentuais de presunção</t>
        </is>
      </c>
      <c r="C40" s="6" t="inlineStr">
        <is>
          <t>Prestação de serviços em geral: IRPJ 32,0%, CSLL 32,0%</t>
        </is>
      </c>
      <c r="D40" s="19" t="n">
        <v>0.32</v>
      </c>
      <c r="E40" s="6" t="inlineStr">
        <is>
          <t>Lei 9.249/1995, art. 15, §1º e art. 20</t>
        </is>
      </c>
    </row>
    <row r="41">
      <c r="A41" s="5" t="inlineStr">
        <is>
          <t>E2-LP</t>
        </is>
      </c>
      <c r="B41" s="6" t="inlineStr">
        <is>
          <t>1º tri - base presumida IRPJ</t>
        </is>
      </c>
      <c r="C41" s="6" t="inlineStr">
        <is>
          <t>R$ 150.000,00 x 32,0%</t>
        </is>
      </c>
      <c r="D41" s="7" t="n">
        <v>48000</v>
      </c>
      <c r="E41" s="6" t="inlineStr">
        <is>
          <t>Lei 9.249/1995, arts. 15 e 20</t>
        </is>
      </c>
    </row>
    <row r="42">
      <c r="A42" s="5" t="inlineStr">
        <is>
          <t>E2-LP</t>
        </is>
      </c>
      <c r="B42" s="6" t="inlineStr">
        <is>
          <t>1º tri - IRPJ</t>
        </is>
      </c>
      <c r="C42" s="6" t="inlineStr">
        <is>
          <t>R$ 48.000,00 x 15% + adicional 10% sobre o que exceder R$ 60.000,00</t>
        </is>
      </c>
      <c r="D42" s="7" t="n">
        <v>7200</v>
      </c>
      <c r="E42" s="6" t="inlineStr">
        <is>
          <t>Lei 9.430/1996, arts. 3º e 4º</t>
        </is>
      </c>
    </row>
    <row r="43">
      <c r="A43" s="5" t="inlineStr">
        <is>
          <t>E2-LP</t>
        </is>
      </c>
      <c r="B43" s="6" t="inlineStr">
        <is>
          <t>1º tri - base presumida CSLL</t>
        </is>
      </c>
      <c r="C43" s="6" t="inlineStr">
        <is>
          <t>R$ 150.000,00 x 32,0%</t>
        </is>
      </c>
      <c r="D43" s="7" t="n">
        <v>48000</v>
      </c>
      <c r="E43" s="6" t="inlineStr">
        <is>
          <t>Lei 9.249/1995, arts. 15 e 20</t>
        </is>
      </c>
    </row>
    <row r="44">
      <c r="A44" s="5" t="inlineStr">
        <is>
          <t>E2-LP</t>
        </is>
      </c>
      <c r="B44" s="6" t="inlineStr">
        <is>
          <t>1º tri - CSLL</t>
        </is>
      </c>
      <c r="C44" s="6" t="inlineStr">
        <is>
          <t>R$ 48.000,00 x 9%</t>
        </is>
      </c>
      <c r="D44" s="7" t="n">
        <v>4320</v>
      </c>
      <c r="E44" s="6" t="inlineStr">
        <is>
          <t>Lei 7.689/1988, art. 3º</t>
        </is>
      </c>
    </row>
    <row r="45">
      <c r="A45" s="5" t="inlineStr">
        <is>
          <t>E2-LP</t>
        </is>
      </c>
      <c r="B45" s="6" t="inlineStr">
        <is>
          <t>2º tri - base presumida IRPJ</t>
        </is>
      </c>
      <c r="C45" s="6" t="inlineStr">
        <is>
          <t>R$ 150.000,00 x 32,0%</t>
        </is>
      </c>
      <c r="D45" s="7" t="n">
        <v>48000</v>
      </c>
      <c r="E45" s="6" t="inlineStr">
        <is>
          <t>Lei 9.249/1995, arts. 15 e 20</t>
        </is>
      </c>
    </row>
    <row r="46">
      <c r="A46" s="5" t="inlineStr">
        <is>
          <t>E2-LP</t>
        </is>
      </c>
      <c r="B46" s="6" t="inlineStr">
        <is>
          <t>2º tri - IRPJ</t>
        </is>
      </c>
      <c r="C46" s="6" t="inlineStr">
        <is>
          <t>R$ 48.000,00 x 15% + adicional 10% sobre o que exceder R$ 60.000,00</t>
        </is>
      </c>
      <c r="D46" s="7" t="n">
        <v>7200</v>
      </c>
      <c r="E46" s="6" t="inlineStr">
        <is>
          <t>Lei 9.430/1996, arts. 3º e 4º</t>
        </is>
      </c>
    </row>
    <row r="47">
      <c r="A47" s="5" t="inlineStr">
        <is>
          <t>E2-LP</t>
        </is>
      </c>
      <c r="B47" s="6" t="inlineStr">
        <is>
          <t>2º tri - base presumida CSLL</t>
        </is>
      </c>
      <c r="C47" s="6" t="inlineStr">
        <is>
          <t>R$ 150.000,00 x 32,0%</t>
        </is>
      </c>
      <c r="D47" s="7" t="n">
        <v>48000</v>
      </c>
      <c r="E47" s="6" t="inlineStr">
        <is>
          <t>Lei 9.249/1995, arts. 15 e 20</t>
        </is>
      </c>
    </row>
    <row r="48">
      <c r="A48" s="5" t="inlineStr">
        <is>
          <t>E2-LP</t>
        </is>
      </c>
      <c r="B48" s="6" t="inlineStr">
        <is>
          <t>2º tri - CSLL</t>
        </is>
      </c>
      <c r="C48" s="6" t="inlineStr">
        <is>
          <t>R$ 48.000,00 x 9%</t>
        </is>
      </c>
      <c r="D48" s="7" t="n">
        <v>4320</v>
      </c>
      <c r="E48" s="6" t="inlineStr">
        <is>
          <t>Lei 7.689/1988, art. 3º</t>
        </is>
      </c>
    </row>
    <row r="49">
      <c r="A49" s="5" t="inlineStr">
        <is>
          <t>E2-LP</t>
        </is>
      </c>
      <c r="B49" s="6" t="inlineStr">
        <is>
          <t>3º tri - base presumida IRPJ</t>
        </is>
      </c>
      <c r="C49" s="6" t="inlineStr">
        <is>
          <t>R$ 150.000,00 x 32,0%</t>
        </is>
      </c>
      <c r="D49" s="7" t="n">
        <v>48000</v>
      </c>
      <c r="E49" s="6" t="inlineStr">
        <is>
          <t>Lei 9.249/1995, arts. 15 e 20</t>
        </is>
      </c>
    </row>
    <row r="50">
      <c r="A50" s="5" t="inlineStr">
        <is>
          <t>E2-LP</t>
        </is>
      </c>
      <c r="B50" s="6" t="inlineStr">
        <is>
          <t>3º tri - IRPJ</t>
        </is>
      </c>
      <c r="C50" s="6" t="inlineStr">
        <is>
          <t>R$ 48.000,00 x 15% + adicional 10% sobre o que exceder R$ 60.000,00</t>
        </is>
      </c>
      <c r="D50" s="7" t="n">
        <v>7200</v>
      </c>
      <c r="E50" s="6" t="inlineStr">
        <is>
          <t>Lei 9.430/1996, arts. 3º e 4º</t>
        </is>
      </c>
    </row>
    <row r="51">
      <c r="A51" s="5" t="inlineStr">
        <is>
          <t>E2-LP</t>
        </is>
      </c>
      <c r="B51" s="6" t="inlineStr">
        <is>
          <t>3º tri - base presumida CSLL</t>
        </is>
      </c>
      <c r="C51" s="6" t="inlineStr">
        <is>
          <t>R$ 150.000,00 x 32,0%</t>
        </is>
      </c>
      <c r="D51" s="7" t="n">
        <v>48000</v>
      </c>
      <c r="E51" s="6" t="inlineStr">
        <is>
          <t>Lei 9.249/1995, arts. 15 e 20</t>
        </is>
      </c>
    </row>
    <row r="52">
      <c r="A52" s="5" t="inlineStr">
        <is>
          <t>E2-LP</t>
        </is>
      </c>
      <c r="B52" s="6" t="inlineStr">
        <is>
          <t>3º tri - CSLL</t>
        </is>
      </c>
      <c r="C52" s="6" t="inlineStr">
        <is>
          <t>R$ 48.000,00 x 9%</t>
        </is>
      </c>
      <c r="D52" s="7" t="n">
        <v>4320</v>
      </c>
      <c r="E52" s="6" t="inlineStr">
        <is>
          <t>Lei 7.689/1988, art. 3º</t>
        </is>
      </c>
    </row>
    <row r="53">
      <c r="A53" s="5" t="inlineStr">
        <is>
          <t>E2-LP</t>
        </is>
      </c>
      <c r="B53" s="6" t="inlineStr">
        <is>
          <t>4º tri - base presumida IRPJ</t>
        </is>
      </c>
      <c r="C53" s="6" t="inlineStr">
        <is>
          <t>R$ 150.000,00 x 32,0%</t>
        </is>
      </c>
      <c r="D53" s="7" t="n">
        <v>48000</v>
      </c>
      <c r="E53" s="6" t="inlineStr">
        <is>
          <t>Lei 9.249/1995, arts. 15 e 20</t>
        </is>
      </c>
    </row>
    <row r="54">
      <c r="A54" s="5" t="inlineStr">
        <is>
          <t>E2-LP</t>
        </is>
      </c>
      <c r="B54" s="6" t="inlineStr">
        <is>
          <t>4º tri - IRPJ</t>
        </is>
      </c>
      <c r="C54" s="6" t="inlineStr">
        <is>
          <t>R$ 48.000,00 x 15% + adicional 10% sobre o que exceder R$ 60.000,00</t>
        </is>
      </c>
      <c r="D54" s="7" t="n">
        <v>7200</v>
      </c>
      <c r="E54" s="6" t="inlineStr">
        <is>
          <t>Lei 9.430/1996, arts. 3º e 4º</t>
        </is>
      </c>
    </row>
    <row r="55">
      <c r="A55" s="5" t="inlineStr">
        <is>
          <t>E2-LP</t>
        </is>
      </c>
      <c r="B55" s="6" t="inlineStr">
        <is>
          <t>4º tri - base presumida CSLL</t>
        </is>
      </c>
      <c r="C55" s="6" t="inlineStr">
        <is>
          <t>R$ 150.000,00 x 32,0%</t>
        </is>
      </c>
      <c r="D55" s="7" t="n">
        <v>48000</v>
      </c>
      <c r="E55" s="6" t="inlineStr">
        <is>
          <t>Lei 9.249/1995, arts. 15 e 20</t>
        </is>
      </c>
    </row>
    <row r="56">
      <c r="A56" s="5" t="inlineStr">
        <is>
          <t>E2-LP</t>
        </is>
      </c>
      <c r="B56" s="6" t="inlineStr">
        <is>
          <t>4º tri - CSLL</t>
        </is>
      </c>
      <c r="C56" s="6" t="inlineStr">
        <is>
          <t>R$ 48.000,00 x 9%</t>
        </is>
      </c>
      <c r="D56" s="7" t="n">
        <v>4320</v>
      </c>
      <c r="E56" s="6" t="inlineStr">
        <is>
          <t>Lei 7.689/1988, art. 3º</t>
        </is>
      </c>
    </row>
    <row r="57">
      <c r="A57" s="5" t="inlineStr">
        <is>
          <t>E2-LP</t>
        </is>
      </c>
      <c r="B57" s="6" t="inlineStr">
        <is>
          <t>PIS cumulativo</t>
        </is>
      </c>
      <c r="C57" s="6" t="inlineStr">
        <is>
          <t>R$ 600.000,00 x 0,65%</t>
        </is>
      </c>
      <c r="D57" s="7" t="n">
        <v>3900</v>
      </c>
      <c r="E57" s="6" t="inlineStr">
        <is>
          <t>Lei 9.715/1998</t>
        </is>
      </c>
    </row>
    <row r="58">
      <c r="A58" s="5" t="inlineStr">
        <is>
          <t>E2-LP</t>
        </is>
      </c>
      <c r="B58" s="6" t="inlineStr">
        <is>
          <t>Cofins cumulativa</t>
        </is>
      </c>
      <c r="C58" s="6" t="inlineStr">
        <is>
          <t>R$ 600.000,00 x 3,00%</t>
        </is>
      </c>
      <c r="D58" s="7" t="n">
        <v>18000</v>
      </c>
      <c r="E58" s="6" t="inlineStr">
        <is>
          <t>Lei 9.718/1998</t>
        </is>
      </c>
    </row>
    <row r="59">
      <c r="A59" s="5" t="inlineStr">
        <is>
          <t>E2-LP</t>
        </is>
      </c>
      <c r="B59" s="6" t="inlineStr">
        <is>
          <t>ISS</t>
        </is>
      </c>
      <c r="C59" s="6" t="inlineStr">
        <is>
          <t>R$ 600.000,00 x 5,00%</t>
        </is>
      </c>
      <c r="D59" s="7" t="n">
        <v>30000</v>
      </c>
      <c r="E59" s="6" t="inlineStr">
        <is>
          <t>LC 116/2003 e lei municipal</t>
        </is>
      </c>
    </row>
    <row r="60">
      <c r="A60" s="5" t="inlineStr">
        <is>
          <t>E2-LP</t>
        </is>
      </c>
      <c r="B60" s="6" t="inlineStr">
        <is>
          <t>INSS patronal sobre a folha CLT</t>
        </is>
      </c>
      <c r="C60" s="6" t="inlineStr">
        <is>
          <t>R$ 96.000,00 x (20,00% CPP + 2,00% RAT + 5,80% terceiros)</t>
        </is>
      </c>
      <c r="D60" s="7" t="n">
        <v>26688</v>
      </c>
      <c r="E60" s="6" t="inlineStr">
        <is>
          <t>Lei 8.212/1991, art. 22, I e II</t>
        </is>
      </c>
    </row>
    <row r="61">
      <c r="A61" s="5" t="inlineStr">
        <is>
          <t>E2-LP</t>
        </is>
      </c>
      <c r="B61" s="6" t="inlineStr">
        <is>
          <t>INSS patronal sobre o pró-labore</t>
        </is>
      </c>
      <c r="C61" s="6" t="inlineStr">
        <is>
          <t>R$ 72.000,00 x 20,00%</t>
        </is>
      </c>
      <c r="D61" s="7" t="n">
        <v>14400</v>
      </c>
      <c r="E61" s="6" t="inlineStr">
        <is>
          <t>Lei 8.212/1991, art. 22, III</t>
        </is>
      </c>
    </row>
    <row r="62">
      <c r="A62" s="5" t="inlineStr">
        <is>
          <t>E2-LR</t>
        </is>
      </c>
      <c r="B62" s="6" t="inlineStr">
        <is>
          <t>PIS - débito</t>
        </is>
      </c>
      <c r="C62" s="6" t="inlineStr">
        <is>
          <t>R$ 600.000,00 x 1,65%</t>
        </is>
      </c>
      <c r="D62" s="7" t="n">
        <v>9900</v>
      </c>
      <c r="E62" s="6" t="inlineStr">
        <is>
          <t>Lei 10.637/2002</t>
        </is>
      </c>
    </row>
    <row r="63">
      <c r="A63" s="5" t="inlineStr">
        <is>
          <t>E2-LR</t>
        </is>
      </c>
      <c r="B63" s="6" t="inlineStr">
        <is>
          <t>PIS - crédito</t>
        </is>
      </c>
      <c r="C63" s="6" t="inlineStr">
        <is>
          <t>(R$ 0,00 compras + R$ 0,00 despesas creditáveis) x 1,65%</t>
        </is>
      </c>
      <c r="D63" s="7" t="n">
        <v>0</v>
      </c>
      <c r="E63" s="6" t="inlineStr">
        <is>
          <t>Lei 10.637/2002, art. 3º</t>
        </is>
      </c>
    </row>
    <row r="64">
      <c r="A64" s="5" t="inlineStr">
        <is>
          <t>E2-LR</t>
        </is>
      </c>
      <c r="B64" s="6" t="inlineStr">
        <is>
          <t>Cofins - débito</t>
        </is>
      </c>
      <c r="C64" s="6" t="inlineStr">
        <is>
          <t>R$ 600.000,00 x 7,60%</t>
        </is>
      </c>
      <c r="D64" s="7" t="n">
        <v>45600</v>
      </c>
      <c r="E64" s="6" t="inlineStr">
        <is>
          <t>Lei 10.833/2003</t>
        </is>
      </c>
    </row>
    <row r="65">
      <c r="A65" s="5" t="inlineStr">
        <is>
          <t>E2-LR</t>
        </is>
      </c>
      <c r="B65" s="6" t="inlineStr">
        <is>
          <t>Cofins - crédito</t>
        </is>
      </c>
      <c r="C65" s="6" t="inlineStr">
        <is>
          <t>(R$ 0,00 compras + R$ 0,00 despesas creditáveis) x 7,60%</t>
        </is>
      </c>
      <c r="D65" s="7" t="n">
        <v>0</v>
      </c>
      <c r="E65" s="6" t="inlineStr">
        <is>
          <t>Lei 10.833/2003, art. 3º</t>
        </is>
      </c>
    </row>
    <row r="66">
      <c r="A66" s="5" t="inlineStr">
        <is>
          <t>E2-LR</t>
        </is>
      </c>
      <c r="B66" s="6" t="inlineStr">
        <is>
          <t>ISS</t>
        </is>
      </c>
      <c r="C66" s="6" t="inlineStr">
        <is>
          <t>R$ 600.000,00 x 5,00%</t>
        </is>
      </c>
      <c r="D66" s="7" t="n">
        <v>30000</v>
      </c>
      <c r="E66" s="6" t="inlineStr">
        <is>
          <t>LC 116/2003 e lei municipal</t>
        </is>
      </c>
    </row>
    <row r="67">
      <c r="A67" s="5" t="inlineStr">
        <is>
          <t>E2-LR</t>
        </is>
      </c>
      <c r="B67" s="6" t="inlineStr">
        <is>
          <t>INSS patronal sobre a folha CLT</t>
        </is>
      </c>
      <c r="C67" s="6" t="inlineStr">
        <is>
          <t>R$ 96.000,00 x (20,00% CPP + 2,00% RAT + 5,80% terceiros)</t>
        </is>
      </c>
      <c r="D67" s="7" t="n">
        <v>26688</v>
      </c>
      <c r="E67" s="6" t="inlineStr">
        <is>
          <t>Lei 8.212/1991, art. 22, I e II</t>
        </is>
      </c>
    </row>
    <row r="68">
      <c r="A68" s="5" t="inlineStr">
        <is>
          <t>E2-LR</t>
        </is>
      </c>
      <c r="B68" s="6" t="inlineStr">
        <is>
          <t>INSS patronal sobre o pró-labore</t>
        </is>
      </c>
      <c r="C68" s="6" t="inlineStr">
        <is>
          <t>R$ 72.000,00 x 20,00%</t>
        </is>
      </c>
      <c r="D68" s="7" t="n">
        <v>14400</v>
      </c>
      <c r="E68" s="6" t="inlineStr">
        <is>
          <t>Lei 8.212/1991, art. 22, III</t>
        </is>
      </c>
    </row>
    <row r="69">
      <c r="A69" s="5" t="inlineStr">
        <is>
          <t>E2-LR</t>
        </is>
      </c>
      <c r="B69" s="6" t="inlineStr">
        <is>
          <t>Lucro antes do IRPJ/CSLL</t>
        </is>
      </c>
      <c r="C69" s="6" t="inlineStr">
        <is>
          <t>R$ 600.000,00 receita - R$ 0,00 compras - R$ 0,00 despesas - R$ 168.000,00 folha e pró-labore - R$ 7.680,00 FGTS - R$ 126.588,00 tributos dedutíveis</t>
        </is>
      </c>
      <c r="D69" s="7" t="n">
        <v>297732</v>
      </c>
      <c r="E69" s="6" t="inlineStr">
        <is>
          <t>Lei 6.404/1976 (DRE)</t>
        </is>
      </c>
    </row>
    <row r="70">
      <c r="A70" s="5" t="inlineStr">
        <is>
          <t>E2-LR</t>
        </is>
      </c>
      <c r="B70" s="6" t="inlineStr">
        <is>
          <t>IRPJ</t>
        </is>
      </c>
      <c r="C70" s="6" t="inlineStr">
        <is>
          <t>R$ 297.732,00 x 15% + 10% sobre o que exceder R$ 240.000,00</t>
        </is>
      </c>
      <c r="D70" s="7" t="n">
        <v>50433</v>
      </c>
      <c r="E70" s="6" t="inlineStr">
        <is>
          <t>Lei 9.249/1995, art. 3º; Lei 9.430/1996, art. 2º</t>
        </is>
      </c>
    </row>
    <row r="71">
      <c r="A71" s="5" t="inlineStr">
        <is>
          <t>E2-LR</t>
        </is>
      </c>
      <c r="B71" s="6" t="inlineStr">
        <is>
          <t>CSLL</t>
        </is>
      </c>
      <c r="C71" s="6" t="inlineStr">
        <is>
          <t>R$ 297.732,00 x 9%</t>
        </is>
      </c>
      <c r="D71" s="7" t="n">
        <v>26795.88</v>
      </c>
      <c r="E71" s="6" t="inlineStr">
        <is>
          <t>Lei 7.689/1988, art. 3º</t>
        </is>
      </c>
    </row>
    <row r="72">
      <c r="A72" s="5" t="inlineStr">
        <is>
          <t>E3-SN</t>
        </is>
      </c>
      <c r="B72" s="6" t="inlineStr">
        <is>
          <t>Alíquota efetiva - Anexo I, 5ª faixa</t>
        </is>
      </c>
      <c r="C72" s="6" t="inlineStr">
        <is>
          <t>(R$ 2.000.000,00 x 14,30% - R$ 87.300,00) / R$ 2.000.000,00 = 9,9350%</t>
        </is>
      </c>
      <c r="D72" s="19" t="n">
        <v>0.09934999999999999</v>
      </c>
      <c r="E72" s="6" t="inlineStr">
        <is>
          <t>LC 123/2006, art. 18, §1º e §1º-A</t>
        </is>
      </c>
    </row>
    <row r="73">
      <c r="A73" s="5" t="inlineStr">
        <is>
          <t>E3-SN</t>
        </is>
      </c>
      <c r="B73" s="6" t="inlineStr">
        <is>
          <t>DAS anual</t>
        </is>
      </c>
      <c r="C73" s="6" t="inlineStr">
        <is>
          <t>R$ 2.000.000,00 x 9,9350%</t>
        </is>
      </c>
      <c r="D73" s="7" t="n">
        <v>198700</v>
      </c>
      <c r="E73" s="6" t="inlineStr">
        <is>
          <t>LC 123/2006, art. 13</t>
        </is>
      </c>
    </row>
    <row r="74">
      <c r="A74" s="5" t="inlineStr">
        <is>
          <t>E3-LP</t>
        </is>
      </c>
      <c r="B74" s="6" t="inlineStr">
        <is>
          <t>Percentuais de presunção</t>
        </is>
      </c>
      <c r="C74" s="6" t="inlineStr">
        <is>
          <t>Revenda de mercadorias: IRPJ 8,0%, CSLL 12,0%</t>
        </is>
      </c>
      <c r="D74" s="19" t="n">
        <v>0.08</v>
      </c>
      <c r="E74" s="6" t="inlineStr">
        <is>
          <t>Lei 9.249/1995, art. 15, §1º e art. 20</t>
        </is>
      </c>
    </row>
    <row r="75">
      <c r="A75" s="5" t="inlineStr">
        <is>
          <t>E3-LP</t>
        </is>
      </c>
      <c r="B75" s="6" t="inlineStr">
        <is>
          <t>1º tri - base presumida IRPJ</t>
        </is>
      </c>
      <c r="C75" s="6" t="inlineStr">
        <is>
          <t>R$ 500.000,00 x 8,0%</t>
        </is>
      </c>
      <c r="D75" s="7" t="n">
        <v>40000</v>
      </c>
      <c r="E75" s="6" t="inlineStr">
        <is>
          <t>Lei 9.249/1995, arts. 15 e 20</t>
        </is>
      </c>
    </row>
    <row r="76">
      <c r="A76" s="5" t="inlineStr">
        <is>
          <t>E3-LP</t>
        </is>
      </c>
      <c r="B76" s="6" t="inlineStr">
        <is>
          <t>1º tri - IRPJ</t>
        </is>
      </c>
      <c r="C76" s="6" t="inlineStr">
        <is>
          <t>R$ 40.000,00 x 15% + adicional 10% sobre o que exceder R$ 60.000,00</t>
        </is>
      </c>
      <c r="D76" s="7" t="n">
        <v>6000</v>
      </c>
      <c r="E76" s="6" t="inlineStr">
        <is>
          <t>Lei 9.430/1996, arts. 3º e 4º</t>
        </is>
      </c>
    </row>
    <row r="77">
      <c r="A77" s="5" t="inlineStr">
        <is>
          <t>E3-LP</t>
        </is>
      </c>
      <c r="B77" s="6" t="inlineStr">
        <is>
          <t>1º tri - base presumida CSLL</t>
        </is>
      </c>
      <c r="C77" s="6" t="inlineStr">
        <is>
          <t>R$ 500.000,00 x 12,0%</t>
        </is>
      </c>
      <c r="D77" s="7" t="n">
        <v>60000</v>
      </c>
      <c r="E77" s="6" t="inlineStr">
        <is>
          <t>Lei 9.249/1995, arts. 15 e 20</t>
        </is>
      </c>
    </row>
    <row r="78">
      <c r="A78" s="5" t="inlineStr">
        <is>
          <t>E3-LP</t>
        </is>
      </c>
      <c r="B78" s="6" t="inlineStr">
        <is>
          <t>1º tri - CSLL</t>
        </is>
      </c>
      <c r="C78" s="6" t="inlineStr">
        <is>
          <t>R$ 60.000,00 x 9%</t>
        </is>
      </c>
      <c r="D78" s="7" t="n">
        <v>5400</v>
      </c>
      <c r="E78" s="6" t="inlineStr">
        <is>
          <t>Lei 7.689/1988, art. 3º</t>
        </is>
      </c>
    </row>
    <row r="79">
      <c r="A79" s="5" t="inlineStr">
        <is>
          <t>E3-LP</t>
        </is>
      </c>
      <c r="B79" s="6" t="inlineStr">
        <is>
          <t>2º tri - base presumida IRPJ</t>
        </is>
      </c>
      <c r="C79" s="6" t="inlineStr">
        <is>
          <t>R$ 500.000,00 x 8,0%</t>
        </is>
      </c>
      <c r="D79" s="7" t="n">
        <v>40000</v>
      </c>
      <c r="E79" s="6" t="inlineStr">
        <is>
          <t>Lei 9.249/1995, arts. 15 e 20</t>
        </is>
      </c>
    </row>
    <row r="80">
      <c r="A80" s="5" t="inlineStr">
        <is>
          <t>E3-LP</t>
        </is>
      </c>
      <c r="B80" s="6" t="inlineStr">
        <is>
          <t>2º tri - IRPJ</t>
        </is>
      </c>
      <c r="C80" s="6" t="inlineStr">
        <is>
          <t>R$ 40.000,00 x 15% + adicional 10% sobre o que exceder R$ 60.000,00</t>
        </is>
      </c>
      <c r="D80" s="7" t="n">
        <v>6000</v>
      </c>
      <c r="E80" s="6" t="inlineStr">
        <is>
          <t>Lei 9.430/1996, arts. 3º e 4º</t>
        </is>
      </c>
    </row>
    <row r="81">
      <c r="A81" s="5" t="inlineStr">
        <is>
          <t>E3-LP</t>
        </is>
      </c>
      <c r="B81" s="6" t="inlineStr">
        <is>
          <t>2º tri - base presumida CSLL</t>
        </is>
      </c>
      <c r="C81" s="6" t="inlineStr">
        <is>
          <t>R$ 500.000,00 x 12,0%</t>
        </is>
      </c>
      <c r="D81" s="7" t="n">
        <v>60000</v>
      </c>
      <c r="E81" s="6" t="inlineStr">
        <is>
          <t>Lei 9.249/1995, arts. 15 e 20</t>
        </is>
      </c>
    </row>
    <row r="82">
      <c r="A82" s="5" t="inlineStr">
        <is>
          <t>E3-LP</t>
        </is>
      </c>
      <c r="B82" s="6" t="inlineStr">
        <is>
          <t>2º tri - CSLL</t>
        </is>
      </c>
      <c r="C82" s="6" t="inlineStr">
        <is>
          <t>R$ 60.000,00 x 9%</t>
        </is>
      </c>
      <c r="D82" s="7" t="n">
        <v>5400</v>
      </c>
      <c r="E82" s="6" t="inlineStr">
        <is>
          <t>Lei 7.689/1988, art. 3º</t>
        </is>
      </c>
    </row>
    <row r="83">
      <c r="A83" s="5" t="inlineStr">
        <is>
          <t>E3-LP</t>
        </is>
      </c>
      <c r="B83" s="6" t="inlineStr">
        <is>
          <t>3º tri - base presumida IRPJ</t>
        </is>
      </c>
      <c r="C83" s="6" t="inlineStr">
        <is>
          <t>R$ 500.000,00 x 8,0%</t>
        </is>
      </c>
      <c r="D83" s="7" t="n">
        <v>40000</v>
      </c>
      <c r="E83" s="6" t="inlineStr">
        <is>
          <t>Lei 9.249/1995, arts. 15 e 20</t>
        </is>
      </c>
    </row>
    <row r="84">
      <c r="A84" s="5" t="inlineStr">
        <is>
          <t>E3-LP</t>
        </is>
      </c>
      <c r="B84" s="6" t="inlineStr">
        <is>
          <t>3º tri - IRPJ</t>
        </is>
      </c>
      <c r="C84" s="6" t="inlineStr">
        <is>
          <t>R$ 40.000,00 x 15% + adicional 10% sobre o que exceder R$ 60.000,00</t>
        </is>
      </c>
      <c r="D84" s="7" t="n">
        <v>6000</v>
      </c>
      <c r="E84" s="6" t="inlineStr">
        <is>
          <t>Lei 9.430/1996, arts. 3º e 4º</t>
        </is>
      </c>
    </row>
    <row r="85">
      <c r="A85" s="5" t="inlineStr">
        <is>
          <t>E3-LP</t>
        </is>
      </c>
      <c r="B85" s="6" t="inlineStr">
        <is>
          <t>3º tri - base presumida CSLL</t>
        </is>
      </c>
      <c r="C85" s="6" t="inlineStr">
        <is>
          <t>R$ 500.000,00 x 12,0%</t>
        </is>
      </c>
      <c r="D85" s="7" t="n">
        <v>60000</v>
      </c>
      <c r="E85" s="6" t="inlineStr">
        <is>
          <t>Lei 9.249/1995, arts. 15 e 20</t>
        </is>
      </c>
    </row>
    <row r="86">
      <c r="A86" s="5" t="inlineStr">
        <is>
          <t>E3-LP</t>
        </is>
      </c>
      <c r="B86" s="6" t="inlineStr">
        <is>
          <t>3º tri - CSLL</t>
        </is>
      </c>
      <c r="C86" s="6" t="inlineStr">
        <is>
          <t>R$ 60.000,00 x 9%</t>
        </is>
      </c>
      <c r="D86" s="7" t="n">
        <v>5400</v>
      </c>
      <c r="E86" s="6" t="inlineStr">
        <is>
          <t>Lei 7.689/1988, art. 3º</t>
        </is>
      </c>
    </row>
    <row r="87">
      <c r="A87" s="5" t="inlineStr">
        <is>
          <t>E3-LP</t>
        </is>
      </c>
      <c r="B87" s="6" t="inlineStr">
        <is>
          <t>4º tri - base presumida IRPJ</t>
        </is>
      </c>
      <c r="C87" s="6" t="inlineStr">
        <is>
          <t>R$ 500.000,00 x 8,0%</t>
        </is>
      </c>
      <c r="D87" s="7" t="n">
        <v>40000</v>
      </c>
      <c r="E87" s="6" t="inlineStr">
        <is>
          <t>Lei 9.249/1995, arts. 15 e 20</t>
        </is>
      </c>
    </row>
    <row r="88">
      <c r="A88" s="5" t="inlineStr">
        <is>
          <t>E3-LP</t>
        </is>
      </c>
      <c r="B88" s="6" t="inlineStr">
        <is>
          <t>4º tri - IRPJ</t>
        </is>
      </c>
      <c r="C88" s="6" t="inlineStr">
        <is>
          <t>R$ 40.000,00 x 15% + adicional 10% sobre o que exceder R$ 60.000,00</t>
        </is>
      </c>
      <c r="D88" s="7" t="n">
        <v>6000</v>
      </c>
      <c r="E88" s="6" t="inlineStr">
        <is>
          <t>Lei 9.430/1996, arts. 3º e 4º</t>
        </is>
      </c>
    </row>
    <row r="89">
      <c r="A89" s="5" t="inlineStr">
        <is>
          <t>E3-LP</t>
        </is>
      </c>
      <c r="B89" s="6" t="inlineStr">
        <is>
          <t>4º tri - base presumida CSLL</t>
        </is>
      </c>
      <c r="C89" s="6" t="inlineStr">
        <is>
          <t>R$ 500.000,00 x 12,0%</t>
        </is>
      </c>
      <c r="D89" s="7" t="n">
        <v>60000</v>
      </c>
      <c r="E89" s="6" t="inlineStr">
        <is>
          <t>Lei 9.249/1995, arts. 15 e 20</t>
        </is>
      </c>
    </row>
    <row r="90">
      <c r="A90" s="5" t="inlineStr">
        <is>
          <t>E3-LP</t>
        </is>
      </c>
      <c r="B90" s="6" t="inlineStr">
        <is>
          <t>4º tri - CSLL</t>
        </is>
      </c>
      <c r="C90" s="6" t="inlineStr">
        <is>
          <t>R$ 60.000,00 x 9%</t>
        </is>
      </c>
      <c r="D90" s="7" t="n">
        <v>5400</v>
      </c>
      <c r="E90" s="6" t="inlineStr">
        <is>
          <t>Lei 7.689/1988, art. 3º</t>
        </is>
      </c>
    </row>
    <row r="91">
      <c r="A91" s="5" t="inlineStr">
        <is>
          <t>E3-LP</t>
        </is>
      </c>
      <c r="B91" s="6" t="inlineStr">
        <is>
          <t>PIS cumulativo</t>
        </is>
      </c>
      <c r="C91" s="6" t="inlineStr">
        <is>
          <t>R$ 2.000.000,00 x 0,65%</t>
        </is>
      </c>
      <c r="D91" s="7" t="n">
        <v>13000</v>
      </c>
      <c r="E91" s="6" t="inlineStr">
        <is>
          <t>Lei 9.715/1998</t>
        </is>
      </c>
    </row>
    <row r="92">
      <c r="A92" s="5" t="inlineStr">
        <is>
          <t>E3-LP</t>
        </is>
      </c>
      <c r="B92" s="6" t="inlineStr">
        <is>
          <t>Cofins cumulativa</t>
        </is>
      </c>
      <c r="C92" s="6" t="inlineStr">
        <is>
          <t>R$ 2.000.000,00 x 3,00%</t>
        </is>
      </c>
      <c r="D92" s="7" t="n">
        <v>60000</v>
      </c>
      <c r="E92" s="6" t="inlineStr">
        <is>
          <t>Lei 9.718/1998</t>
        </is>
      </c>
    </row>
    <row r="93">
      <c r="A93" s="5" t="inlineStr">
        <is>
          <t>E3-LP</t>
        </is>
      </c>
      <c r="B93" s="6" t="inlineStr">
        <is>
          <t>ICMS - débito nas vendas</t>
        </is>
      </c>
      <c r="C93" s="6" t="inlineStr">
        <is>
          <t>R$ 2.000.000,00 x 18,00%</t>
        </is>
      </c>
      <c r="D93" s="7" t="n">
        <v>360000</v>
      </c>
      <c r="E93" s="6" t="inlineStr">
        <is>
          <t>LC 87/1996 e legislação estadual</t>
        </is>
      </c>
    </row>
    <row r="94">
      <c r="A94" s="5" t="inlineStr">
        <is>
          <t>E3-LP</t>
        </is>
      </c>
      <c r="B94" s="6" t="inlineStr">
        <is>
          <t>ICMS - crédito nas compras</t>
        </is>
      </c>
      <c r="C94" s="6" t="inlineStr">
        <is>
          <t>R$ 1.200.000,00 x 18,00%</t>
        </is>
      </c>
      <c r="D94" s="7" t="n">
        <v>216000</v>
      </c>
      <c r="E94" s="6" t="inlineStr">
        <is>
          <t>LC 87/1996, art. 20 (não cumulatividade)</t>
        </is>
      </c>
    </row>
    <row r="95">
      <c r="A95" s="5" t="inlineStr">
        <is>
          <t>E3-LP</t>
        </is>
      </c>
      <c r="B95" s="6" t="inlineStr">
        <is>
          <t>ICMS a recolher</t>
        </is>
      </c>
      <c r="C95" s="6" t="inlineStr">
        <is>
          <t>máx(0; débito - crédito)</t>
        </is>
      </c>
      <c r="D95" s="7" t="n">
        <v>144000</v>
      </c>
      <c r="E95" s="6" t="inlineStr"/>
    </row>
    <row r="96">
      <c r="A96" s="5" t="inlineStr">
        <is>
          <t>E3-LP</t>
        </is>
      </c>
      <c r="B96" s="6" t="inlineStr">
        <is>
          <t>INSS patronal sobre a folha CLT</t>
        </is>
      </c>
      <c r="C96" s="6" t="inlineStr">
        <is>
          <t>R$ 240.000,00 x (20,00% CPP + 2,00% RAT + 5,80% terceiros)</t>
        </is>
      </c>
      <c r="D96" s="7" t="n">
        <v>66720</v>
      </c>
      <c r="E96" s="6" t="inlineStr">
        <is>
          <t>Lei 8.212/1991, art. 22, I e II</t>
        </is>
      </c>
    </row>
    <row r="97">
      <c r="A97" s="5" t="inlineStr">
        <is>
          <t>E3-LP</t>
        </is>
      </c>
      <c r="B97" s="6" t="inlineStr">
        <is>
          <t>INSS patronal sobre o pró-labore</t>
        </is>
      </c>
      <c r="C97" s="6" t="inlineStr">
        <is>
          <t>R$ 36.000,00 x 20,00%</t>
        </is>
      </c>
      <c r="D97" s="7" t="n">
        <v>7200</v>
      </c>
      <c r="E97" s="6" t="inlineStr">
        <is>
          <t>Lei 8.212/1991, art. 22, III</t>
        </is>
      </c>
    </row>
    <row r="98">
      <c r="A98" s="5" t="inlineStr">
        <is>
          <t>E3-LR</t>
        </is>
      </c>
      <c r="B98" s="6" t="inlineStr">
        <is>
          <t>PIS - débito</t>
        </is>
      </c>
      <c r="C98" s="6" t="inlineStr">
        <is>
          <t>R$ 2.000.000,00 x 1,65%</t>
        </is>
      </c>
      <c r="D98" s="7" t="n">
        <v>33000</v>
      </c>
      <c r="E98" s="6" t="inlineStr">
        <is>
          <t>Lei 10.637/2002</t>
        </is>
      </c>
    </row>
    <row r="99">
      <c r="A99" s="5" t="inlineStr">
        <is>
          <t>E3-LR</t>
        </is>
      </c>
      <c r="B99" s="6" t="inlineStr">
        <is>
          <t>PIS - crédito</t>
        </is>
      </c>
      <c r="C99" s="6" t="inlineStr">
        <is>
          <t>(R$ 1.200.000,00 compras + R$ 80.000,00 despesas creditáveis) x 1,65%</t>
        </is>
      </c>
      <c r="D99" s="7" t="n">
        <v>21120</v>
      </c>
      <c r="E99" s="6" t="inlineStr">
        <is>
          <t>Lei 10.637/2002, art. 3º</t>
        </is>
      </c>
    </row>
    <row r="100">
      <c r="A100" s="5" t="inlineStr">
        <is>
          <t>E3-LR</t>
        </is>
      </c>
      <c r="B100" s="6" t="inlineStr">
        <is>
          <t>Cofins - débito</t>
        </is>
      </c>
      <c r="C100" s="6" t="inlineStr">
        <is>
          <t>R$ 2.000.000,00 x 7,60%</t>
        </is>
      </c>
      <c r="D100" s="7" t="n">
        <v>152000</v>
      </c>
      <c r="E100" s="6" t="inlineStr">
        <is>
          <t>Lei 10.833/2003</t>
        </is>
      </c>
    </row>
    <row r="101">
      <c r="A101" s="5" t="inlineStr">
        <is>
          <t>E3-LR</t>
        </is>
      </c>
      <c r="B101" s="6" t="inlineStr">
        <is>
          <t>Cofins - crédito</t>
        </is>
      </c>
      <c r="C101" s="6" t="inlineStr">
        <is>
          <t>(R$ 1.200.000,00 compras + R$ 80.000,00 despesas creditáveis) x 7,60%</t>
        </is>
      </c>
      <c r="D101" s="7" t="n">
        <v>97280</v>
      </c>
      <c r="E101" s="6" t="inlineStr">
        <is>
          <t>Lei 10.833/2003, art. 3º</t>
        </is>
      </c>
    </row>
    <row r="102">
      <c r="A102" s="5" t="inlineStr">
        <is>
          <t>E3-LR</t>
        </is>
      </c>
      <c r="B102" s="6" t="inlineStr">
        <is>
          <t>ICMS - débito nas vendas</t>
        </is>
      </c>
      <c r="C102" s="6" t="inlineStr">
        <is>
          <t>R$ 2.000.000,00 x 18,00%</t>
        </is>
      </c>
      <c r="D102" s="7" t="n">
        <v>360000</v>
      </c>
      <c r="E102" s="6" t="inlineStr">
        <is>
          <t>LC 87/1996 e legislação estadual</t>
        </is>
      </c>
    </row>
    <row r="103">
      <c r="A103" s="5" t="inlineStr">
        <is>
          <t>E3-LR</t>
        </is>
      </c>
      <c r="B103" s="6" t="inlineStr">
        <is>
          <t>ICMS - crédito nas compras</t>
        </is>
      </c>
      <c r="C103" s="6" t="inlineStr">
        <is>
          <t>R$ 1.200.000,00 x 18,00%</t>
        </is>
      </c>
      <c r="D103" s="7" t="n">
        <v>216000</v>
      </c>
      <c r="E103" s="6" t="inlineStr">
        <is>
          <t>LC 87/1996, art. 20 (não cumulatividade)</t>
        </is>
      </c>
    </row>
    <row r="104">
      <c r="A104" s="5" t="inlineStr">
        <is>
          <t>E3-LR</t>
        </is>
      </c>
      <c r="B104" s="6" t="inlineStr">
        <is>
          <t>ICMS a recolher</t>
        </is>
      </c>
      <c r="C104" s="6" t="inlineStr">
        <is>
          <t>máx(0; débito - crédito)</t>
        </is>
      </c>
      <c r="D104" s="7" t="n">
        <v>144000</v>
      </c>
      <c r="E104" s="6" t="inlineStr"/>
    </row>
    <row r="105">
      <c r="A105" s="5" t="inlineStr">
        <is>
          <t>E3-LR</t>
        </is>
      </c>
      <c r="B105" s="6" t="inlineStr">
        <is>
          <t>INSS patronal sobre a folha CLT</t>
        </is>
      </c>
      <c r="C105" s="6" t="inlineStr">
        <is>
          <t>R$ 240.000,00 x (20,00% CPP + 2,00% RAT + 5,80% terceiros)</t>
        </is>
      </c>
      <c r="D105" s="7" t="n">
        <v>66720</v>
      </c>
      <c r="E105" s="6" t="inlineStr">
        <is>
          <t>Lei 8.212/1991, art. 22, I e II</t>
        </is>
      </c>
    </row>
    <row r="106">
      <c r="A106" s="5" t="inlineStr">
        <is>
          <t>E3-LR</t>
        </is>
      </c>
      <c r="B106" s="6" t="inlineStr">
        <is>
          <t>INSS patronal sobre o pró-labore</t>
        </is>
      </c>
      <c r="C106" s="6" t="inlineStr">
        <is>
          <t>R$ 36.000,00 x 20,00%</t>
        </is>
      </c>
      <c r="D106" s="7" t="n">
        <v>7200</v>
      </c>
      <c r="E106" s="6" t="inlineStr">
        <is>
          <t>Lei 8.212/1991, art. 22, III</t>
        </is>
      </c>
    </row>
    <row r="107">
      <c r="A107" s="5" t="inlineStr">
        <is>
          <t>E3-LR</t>
        </is>
      </c>
      <c r="B107" s="6" t="inlineStr">
        <is>
          <t>Lucro antes do IRPJ/CSLL</t>
        </is>
      </c>
      <c r="C107" s="6" t="inlineStr">
        <is>
          <t>R$ 2.000.000,00 receita - R$ 1.200.000,00 compras - R$ 230.000,00 despesas - R$ 276.000,00 folha e pró-labore - R$ 19.200,00 FGTS - R$ 284.520,00 tributos dedutíveis</t>
        </is>
      </c>
      <c r="D107" s="7" t="n">
        <v>-9720</v>
      </c>
      <c r="E107" s="6" t="inlineStr">
        <is>
          <t>Lei 6.404/1976 (DRE)</t>
        </is>
      </c>
    </row>
    <row r="108">
      <c r="A108" s="5" t="inlineStr">
        <is>
          <t>E3-LR</t>
        </is>
      </c>
      <c r="B108" s="6" t="inlineStr">
        <is>
          <t>IRPJ</t>
        </is>
      </c>
      <c r="C108" s="6" t="inlineStr">
        <is>
          <t>R$ 0,00 x 15% + 10% sobre o que exceder R$ 240.000,00</t>
        </is>
      </c>
      <c r="D108" s="7" t="n">
        <v>0</v>
      </c>
      <c r="E108" s="6" t="inlineStr">
        <is>
          <t>Lei 9.249/1995, art. 3º; Lei 9.430/1996, art. 2º</t>
        </is>
      </c>
    </row>
    <row r="109">
      <c r="A109" s="5" t="inlineStr">
        <is>
          <t>E3-LR</t>
        </is>
      </c>
      <c r="B109" s="6" t="inlineStr">
        <is>
          <t>CSLL</t>
        </is>
      </c>
      <c r="C109" s="6" t="inlineStr">
        <is>
          <t>R$ 0,00 x 9%</t>
        </is>
      </c>
      <c r="D109" s="7" t="n">
        <v>0</v>
      </c>
      <c r="E109" s="6" t="inlineStr">
        <is>
          <t>Lei 7.689/1988, art. 3º</t>
        </is>
      </c>
    </row>
    <row r="110">
      <c r="A110" s="5" t="inlineStr">
        <is>
          <t>E4-SN</t>
        </is>
      </c>
      <c r="B110" s="6" t="inlineStr">
        <is>
          <t>Alíquota efetiva - Anexo II, 5ª faixa</t>
        </is>
      </c>
      <c r="C110" s="6" t="inlineStr">
        <is>
          <t>(R$ 3.000.000,00 x 14,70% - R$ 85.500,00) / R$ 3.000.000,00 = 11,8500%</t>
        </is>
      </c>
      <c r="D110" s="19" t="n">
        <v>0.1185</v>
      </c>
      <c r="E110" s="6" t="inlineStr">
        <is>
          <t>LC 123/2006, art. 18, §1º e §1º-A</t>
        </is>
      </c>
    </row>
    <row r="111">
      <c r="A111" s="5" t="inlineStr">
        <is>
          <t>E4-SN</t>
        </is>
      </c>
      <c r="B111" s="6" t="inlineStr">
        <is>
          <t>DAS anual</t>
        </is>
      </c>
      <c r="C111" s="6" t="inlineStr">
        <is>
          <t>R$ 3.000.000,00 x 11,8500%</t>
        </is>
      </c>
      <c r="D111" s="7" t="n">
        <v>355500</v>
      </c>
      <c r="E111" s="6" t="inlineStr">
        <is>
          <t>LC 123/2006, art. 13</t>
        </is>
      </c>
    </row>
    <row r="112">
      <c r="A112" s="5" t="inlineStr">
        <is>
          <t>E4-LP</t>
        </is>
      </c>
      <c r="B112" s="6" t="inlineStr">
        <is>
          <t>Percentuais de presunção</t>
        </is>
      </c>
      <c r="C112" s="6" t="inlineStr">
        <is>
          <t>Venda de produção própria: IRPJ 8,0%, CSLL 12,0%</t>
        </is>
      </c>
      <c r="D112" s="19" t="n">
        <v>0.08</v>
      </c>
      <c r="E112" s="6" t="inlineStr">
        <is>
          <t>Lei 9.249/1995, art. 15, §1º e art. 20</t>
        </is>
      </c>
    </row>
    <row r="113">
      <c r="A113" s="5" t="inlineStr">
        <is>
          <t>E4-LP</t>
        </is>
      </c>
      <c r="B113" s="6" t="inlineStr">
        <is>
          <t>1º tri - base presumida IRPJ</t>
        </is>
      </c>
      <c r="C113" s="6" t="inlineStr">
        <is>
          <t>R$ 750.000,00 x 8,0%</t>
        </is>
      </c>
      <c r="D113" s="7" t="n">
        <v>60000</v>
      </c>
      <c r="E113" s="6" t="inlineStr">
        <is>
          <t>Lei 9.249/1995, arts. 15 e 20</t>
        </is>
      </c>
    </row>
    <row r="114">
      <c r="A114" s="5" t="inlineStr">
        <is>
          <t>E4-LP</t>
        </is>
      </c>
      <c r="B114" s="6" t="inlineStr">
        <is>
          <t>1º tri - IRPJ</t>
        </is>
      </c>
      <c r="C114" s="6" t="inlineStr">
        <is>
          <t>R$ 60.000,00 x 15% + adicional 10% sobre o que exceder R$ 60.000,00</t>
        </is>
      </c>
      <c r="D114" s="7" t="n">
        <v>9000</v>
      </c>
      <c r="E114" s="6" t="inlineStr">
        <is>
          <t>Lei 9.430/1996, arts. 3º e 4º</t>
        </is>
      </c>
    </row>
    <row r="115">
      <c r="A115" s="5" t="inlineStr">
        <is>
          <t>E4-LP</t>
        </is>
      </c>
      <c r="B115" s="6" t="inlineStr">
        <is>
          <t>1º tri - base presumida CSLL</t>
        </is>
      </c>
      <c r="C115" s="6" t="inlineStr">
        <is>
          <t>R$ 750.000,00 x 12,0%</t>
        </is>
      </c>
      <c r="D115" s="7" t="n">
        <v>90000</v>
      </c>
      <c r="E115" s="6" t="inlineStr">
        <is>
          <t>Lei 9.249/1995, arts. 15 e 20</t>
        </is>
      </c>
    </row>
    <row r="116">
      <c r="A116" s="5" t="inlineStr">
        <is>
          <t>E4-LP</t>
        </is>
      </c>
      <c r="B116" s="6" t="inlineStr">
        <is>
          <t>1º tri - CSLL</t>
        </is>
      </c>
      <c r="C116" s="6" t="inlineStr">
        <is>
          <t>R$ 90.000,00 x 9%</t>
        </is>
      </c>
      <c r="D116" s="7" t="n">
        <v>8100</v>
      </c>
      <c r="E116" s="6" t="inlineStr">
        <is>
          <t>Lei 7.689/1988, art. 3º</t>
        </is>
      </c>
    </row>
    <row r="117">
      <c r="A117" s="5" t="inlineStr">
        <is>
          <t>E4-LP</t>
        </is>
      </c>
      <c r="B117" s="6" t="inlineStr">
        <is>
          <t>2º tri - base presumida IRPJ</t>
        </is>
      </c>
      <c r="C117" s="6" t="inlineStr">
        <is>
          <t>R$ 750.000,00 x 8,0%</t>
        </is>
      </c>
      <c r="D117" s="7" t="n">
        <v>60000</v>
      </c>
      <c r="E117" s="6" t="inlineStr">
        <is>
          <t>Lei 9.249/1995, arts. 15 e 20</t>
        </is>
      </c>
    </row>
    <row r="118">
      <c r="A118" s="5" t="inlineStr">
        <is>
          <t>E4-LP</t>
        </is>
      </c>
      <c r="B118" s="6" t="inlineStr">
        <is>
          <t>2º tri - IRPJ</t>
        </is>
      </c>
      <c r="C118" s="6" t="inlineStr">
        <is>
          <t>R$ 60.000,00 x 15% + adicional 10% sobre o que exceder R$ 60.000,00</t>
        </is>
      </c>
      <c r="D118" s="7" t="n">
        <v>9000</v>
      </c>
      <c r="E118" s="6" t="inlineStr">
        <is>
          <t>Lei 9.430/1996, arts. 3º e 4º</t>
        </is>
      </c>
    </row>
    <row r="119">
      <c r="A119" s="5" t="inlineStr">
        <is>
          <t>E4-LP</t>
        </is>
      </c>
      <c r="B119" s="6" t="inlineStr">
        <is>
          <t>2º tri - base presumida CSLL</t>
        </is>
      </c>
      <c r="C119" s="6" t="inlineStr">
        <is>
          <t>R$ 750.000,00 x 12,0%</t>
        </is>
      </c>
      <c r="D119" s="7" t="n">
        <v>90000</v>
      </c>
      <c r="E119" s="6" t="inlineStr">
        <is>
          <t>Lei 9.249/1995, arts. 15 e 20</t>
        </is>
      </c>
    </row>
    <row r="120">
      <c r="A120" s="5" t="inlineStr">
        <is>
          <t>E4-LP</t>
        </is>
      </c>
      <c r="B120" s="6" t="inlineStr">
        <is>
          <t>2º tri - CSLL</t>
        </is>
      </c>
      <c r="C120" s="6" t="inlineStr">
        <is>
          <t>R$ 90.000,00 x 9%</t>
        </is>
      </c>
      <c r="D120" s="7" t="n">
        <v>8100</v>
      </c>
      <c r="E120" s="6" t="inlineStr">
        <is>
          <t>Lei 7.689/1988, art. 3º</t>
        </is>
      </c>
    </row>
    <row r="121">
      <c r="A121" s="5" t="inlineStr">
        <is>
          <t>E4-LP</t>
        </is>
      </c>
      <c r="B121" s="6" t="inlineStr">
        <is>
          <t>3º tri - base presumida IRPJ</t>
        </is>
      </c>
      <c r="C121" s="6" t="inlineStr">
        <is>
          <t>R$ 750.000,00 x 8,0%</t>
        </is>
      </c>
      <c r="D121" s="7" t="n">
        <v>60000</v>
      </c>
      <c r="E121" s="6" t="inlineStr">
        <is>
          <t>Lei 9.249/1995, arts. 15 e 20</t>
        </is>
      </c>
    </row>
    <row r="122">
      <c r="A122" s="5" t="inlineStr">
        <is>
          <t>E4-LP</t>
        </is>
      </c>
      <c r="B122" s="6" t="inlineStr">
        <is>
          <t>3º tri - IRPJ</t>
        </is>
      </c>
      <c r="C122" s="6" t="inlineStr">
        <is>
          <t>R$ 60.000,00 x 15% + adicional 10% sobre o que exceder R$ 60.000,00</t>
        </is>
      </c>
      <c r="D122" s="7" t="n">
        <v>9000</v>
      </c>
      <c r="E122" s="6" t="inlineStr">
        <is>
          <t>Lei 9.430/1996, arts. 3º e 4º</t>
        </is>
      </c>
    </row>
    <row r="123">
      <c r="A123" s="5" t="inlineStr">
        <is>
          <t>E4-LP</t>
        </is>
      </c>
      <c r="B123" s="6" t="inlineStr">
        <is>
          <t>3º tri - base presumida CSLL</t>
        </is>
      </c>
      <c r="C123" s="6" t="inlineStr">
        <is>
          <t>R$ 750.000,00 x 12,0%</t>
        </is>
      </c>
      <c r="D123" s="7" t="n">
        <v>90000</v>
      </c>
      <c r="E123" s="6" t="inlineStr">
        <is>
          <t>Lei 9.249/1995, arts. 15 e 20</t>
        </is>
      </c>
    </row>
    <row r="124">
      <c r="A124" s="5" t="inlineStr">
        <is>
          <t>E4-LP</t>
        </is>
      </c>
      <c r="B124" s="6" t="inlineStr">
        <is>
          <t>3º tri - CSLL</t>
        </is>
      </c>
      <c r="C124" s="6" t="inlineStr">
        <is>
          <t>R$ 90.000,00 x 9%</t>
        </is>
      </c>
      <c r="D124" s="7" t="n">
        <v>8100</v>
      </c>
      <c r="E124" s="6" t="inlineStr">
        <is>
          <t>Lei 7.689/1988, art. 3º</t>
        </is>
      </c>
    </row>
    <row r="125">
      <c r="A125" s="5" t="inlineStr">
        <is>
          <t>E4-LP</t>
        </is>
      </c>
      <c r="B125" s="6" t="inlineStr">
        <is>
          <t>4º tri - base presumida IRPJ</t>
        </is>
      </c>
      <c r="C125" s="6" t="inlineStr">
        <is>
          <t>R$ 750.000,00 x 8,0%</t>
        </is>
      </c>
      <c r="D125" s="7" t="n">
        <v>60000</v>
      </c>
      <c r="E125" s="6" t="inlineStr">
        <is>
          <t>Lei 9.249/1995, arts. 15 e 20</t>
        </is>
      </c>
    </row>
    <row r="126">
      <c r="A126" s="5" t="inlineStr">
        <is>
          <t>E4-LP</t>
        </is>
      </c>
      <c r="B126" s="6" t="inlineStr">
        <is>
          <t>4º tri - IRPJ</t>
        </is>
      </c>
      <c r="C126" s="6" t="inlineStr">
        <is>
          <t>R$ 60.000,00 x 15% + adicional 10% sobre o que exceder R$ 60.000,00</t>
        </is>
      </c>
      <c r="D126" s="7" t="n">
        <v>9000</v>
      </c>
      <c r="E126" s="6" t="inlineStr">
        <is>
          <t>Lei 9.430/1996, arts. 3º e 4º</t>
        </is>
      </c>
    </row>
    <row r="127">
      <c r="A127" s="5" t="inlineStr">
        <is>
          <t>E4-LP</t>
        </is>
      </c>
      <c r="B127" s="6" t="inlineStr">
        <is>
          <t>4º tri - base presumida CSLL</t>
        </is>
      </c>
      <c r="C127" s="6" t="inlineStr">
        <is>
          <t>R$ 750.000,00 x 12,0%</t>
        </is>
      </c>
      <c r="D127" s="7" t="n">
        <v>90000</v>
      </c>
      <c r="E127" s="6" t="inlineStr">
        <is>
          <t>Lei 9.249/1995, arts. 15 e 20</t>
        </is>
      </c>
    </row>
    <row r="128">
      <c r="A128" s="5" t="inlineStr">
        <is>
          <t>E4-LP</t>
        </is>
      </c>
      <c r="B128" s="6" t="inlineStr">
        <is>
          <t>4º tri - CSLL</t>
        </is>
      </c>
      <c r="C128" s="6" t="inlineStr">
        <is>
          <t>R$ 90.000,00 x 9%</t>
        </is>
      </c>
      <c r="D128" s="7" t="n">
        <v>8100</v>
      </c>
      <c r="E128" s="6" t="inlineStr">
        <is>
          <t>Lei 7.689/1988, art. 3º</t>
        </is>
      </c>
    </row>
    <row r="129">
      <c r="A129" s="5" t="inlineStr">
        <is>
          <t>E4-LP</t>
        </is>
      </c>
      <c r="B129" s="6" t="inlineStr">
        <is>
          <t>PIS cumulativo</t>
        </is>
      </c>
      <c r="C129" s="6" t="inlineStr">
        <is>
          <t>R$ 3.000.000,00 x 0,65%</t>
        </is>
      </c>
      <c r="D129" s="7" t="n">
        <v>19500</v>
      </c>
      <c r="E129" s="6" t="inlineStr">
        <is>
          <t>Lei 9.715/1998</t>
        </is>
      </c>
    </row>
    <row r="130">
      <c r="A130" s="5" t="inlineStr">
        <is>
          <t>E4-LP</t>
        </is>
      </c>
      <c r="B130" s="6" t="inlineStr">
        <is>
          <t>Cofins cumulativa</t>
        </is>
      </c>
      <c r="C130" s="6" t="inlineStr">
        <is>
          <t>R$ 3.000.000,00 x 3,00%</t>
        </is>
      </c>
      <c r="D130" s="7" t="n">
        <v>90000</v>
      </c>
      <c r="E130" s="6" t="inlineStr">
        <is>
          <t>Lei 9.718/1998</t>
        </is>
      </c>
    </row>
    <row r="131">
      <c r="A131" s="5" t="inlineStr">
        <is>
          <t>E4-LP</t>
        </is>
      </c>
      <c r="B131" s="6" t="inlineStr">
        <is>
          <t>ICMS - débito nas vendas</t>
        </is>
      </c>
      <c r="C131" s="6" t="inlineStr">
        <is>
          <t>R$ 3.000.000,00 x 18,00%</t>
        </is>
      </c>
      <c r="D131" s="7" t="n">
        <v>540000</v>
      </c>
      <c r="E131" s="6" t="inlineStr">
        <is>
          <t>LC 87/1996 e legislação estadual</t>
        </is>
      </c>
    </row>
    <row r="132">
      <c r="A132" s="5" t="inlineStr">
        <is>
          <t>E4-LP</t>
        </is>
      </c>
      <c r="B132" s="6" t="inlineStr">
        <is>
          <t>ICMS - crédito nas compras</t>
        </is>
      </c>
      <c r="C132" s="6" t="inlineStr">
        <is>
          <t>R$ 1.500.000,00 x 18,00%</t>
        </is>
      </c>
      <c r="D132" s="7" t="n">
        <v>270000</v>
      </c>
      <c r="E132" s="6" t="inlineStr">
        <is>
          <t>LC 87/1996, art. 20 (não cumulatividade)</t>
        </is>
      </c>
    </row>
    <row r="133">
      <c r="A133" s="5" t="inlineStr">
        <is>
          <t>E4-LP</t>
        </is>
      </c>
      <c r="B133" s="6" t="inlineStr">
        <is>
          <t>ICMS a recolher</t>
        </is>
      </c>
      <c r="C133" s="6" t="inlineStr">
        <is>
          <t>máx(0; débito - crédito)</t>
        </is>
      </c>
      <c r="D133" s="7" t="n">
        <v>270000</v>
      </c>
      <c r="E133" s="6" t="inlineStr"/>
    </row>
    <row r="134">
      <c r="A134" s="5" t="inlineStr">
        <is>
          <t>E4-LP</t>
        </is>
      </c>
      <c r="B134" s="6" t="inlineStr">
        <is>
          <t>INSS patronal sobre a folha CLT</t>
        </is>
      </c>
      <c r="C134" s="6" t="inlineStr">
        <is>
          <t>R$ 600.000,00 x (20,00% CPP + 2,00% RAT + 5,80% terceiros)</t>
        </is>
      </c>
      <c r="D134" s="7" t="n">
        <v>166800</v>
      </c>
      <c r="E134" s="6" t="inlineStr">
        <is>
          <t>Lei 8.212/1991, art. 22, I e II</t>
        </is>
      </c>
    </row>
    <row r="135">
      <c r="A135" s="5" t="inlineStr">
        <is>
          <t>E4-LP</t>
        </is>
      </c>
      <c r="B135" s="6" t="inlineStr">
        <is>
          <t>INSS patronal sobre o pró-labore</t>
        </is>
      </c>
      <c r="C135" s="6" t="inlineStr">
        <is>
          <t>R$ 60.000,00 x 20,00%</t>
        </is>
      </c>
      <c r="D135" s="7" t="n">
        <v>12000</v>
      </c>
      <c r="E135" s="6" t="inlineStr">
        <is>
          <t>Lei 8.212/1991, art. 22, III</t>
        </is>
      </c>
    </row>
    <row r="136">
      <c r="A136" s="5" t="inlineStr">
        <is>
          <t>E4-LR</t>
        </is>
      </c>
      <c r="B136" s="6" t="inlineStr">
        <is>
          <t>PIS - débito</t>
        </is>
      </c>
      <c r="C136" s="6" t="inlineStr">
        <is>
          <t>R$ 3.000.000,00 x 1,65%</t>
        </is>
      </c>
      <c r="D136" s="7" t="n">
        <v>49500</v>
      </c>
      <c r="E136" s="6" t="inlineStr">
        <is>
          <t>Lei 10.637/2002</t>
        </is>
      </c>
    </row>
    <row r="137">
      <c r="A137" s="5" t="inlineStr">
        <is>
          <t>E4-LR</t>
        </is>
      </c>
      <c r="B137" s="6" t="inlineStr">
        <is>
          <t>PIS - crédito</t>
        </is>
      </c>
      <c r="C137" s="6" t="inlineStr">
        <is>
          <t>(R$ 1.500.000,00 compras + R$ 200.000,00 despesas creditáveis) x 1,65%</t>
        </is>
      </c>
      <c r="D137" s="7" t="n">
        <v>28050</v>
      </c>
      <c r="E137" s="6" t="inlineStr">
        <is>
          <t>Lei 10.637/2002, art. 3º</t>
        </is>
      </c>
    </row>
    <row r="138">
      <c r="A138" s="5" t="inlineStr">
        <is>
          <t>E4-LR</t>
        </is>
      </c>
      <c r="B138" s="6" t="inlineStr">
        <is>
          <t>Cofins - débito</t>
        </is>
      </c>
      <c r="C138" s="6" t="inlineStr">
        <is>
          <t>R$ 3.000.000,00 x 7,60%</t>
        </is>
      </c>
      <c r="D138" s="7" t="n">
        <v>228000</v>
      </c>
      <c r="E138" s="6" t="inlineStr">
        <is>
          <t>Lei 10.833/2003</t>
        </is>
      </c>
    </row>
    <row r="139">
      <c r="A139" s="5" t="inlineStr">
        <is>
          <t>E4-LR</t>
        </is>
      </c>
      <c r="B139" s="6" t="inlineStr">
        <is>
          <t>Cofins - crédito</t>
        </is>
      </c>
      <c r="C139" s="6" t="inlineStr">
        <is>
          <t>(R$ 1.500.000,00 compras + R$ 200.000,00 despesas creditáveis) x 7,60%</t>
        </is>
      </c>
      <c r="D139" s="7" t="n">
        <v>129200</v>
      </c>
      <c r="E139" s="6" t="inlineStr">
        <is>
          <t>Lei 10.833/2003, art. 3º</t>
        </is>
      </c>
    </row>
    <row r="140">
      <c r="A140" s="5" t="inlineStr">
        <is>
          <t>E4-LR</t>
        </is>
      </c>
      <c r="B140" s="6" t="inlineStr">
        <is>
          <t>ICMS - débito nas vendas</t>
        </is>
      </c>
      <c r="C140" s="6" t="inlineStr">
        <is>
          <t>R$ 3.000.000,00 x 18,00%</t>
        </is>
      </c>
      <c r="D140" s="7" t="n">
        <v>540000</v>
      </c>
      <c r="E140" s="6" t="inlineStr">
        <is>
          <t>LC 87/1996 e legislação estadual</t>
        </is>
      </c>
    </row>
    <row r="141">
      <c r="A141" s="5" t="inlineStr">
        <is>
          <t>E4-LR</t>
        </is>
      </c>
      <c r="B141" s="6" t="inlineStr">
        <is>
          <t>ICMS - crédito nas compras</t>
        </is>
      </c>
      <c r="C141" s="6" t="inlineStr">
        <is>
          <t>R$ 1.500.000,00 x 18,00%</t>
        </is>
      </c>
      <c r="D141" s="7" t="n">
        <v>270000</v>
      </c>
      <c r="E141" s="6" t="inlineStr">
        <is>
          <t>LC 87/1996, art. 20 (não cumulatividade)</t>
        </is>
      </c>
    </row>
    <row r="142">
      <c r="A142" s="5" t="inlineStr">
        <is>
          <t>E4-LR</t>
        </is>
      </c>
      <c r="B142" s="6" t="inlineStr">
        <is>
          <t>ICMS a recolher</t>
        </is>
      </c>
      <c r="C142" s="6" t="inlineStr">
        <is>
          <t>máx(0; débito - crédito)</t>
        </is>
      </c>
      <c r="D142" s="7" t="n">
        <v>270000</v>
      </c>
      <c r="E142" s="6" t="inlineStr"/>
    </row>
    <row r="143">
      <c r="A143" s="5" t="inlineStr">
        <is>
          <t>E4-LR</t>
        </is>
      </c>
      <c r="B143" s="6" t="inlineStr">
        <is>
          <t>INSS patronal sobre a folha CLT</t>
        </is>
      </c>
      <c r="C143" s="6" t="inlineStr">
        <is>
          <t>R$ 600.000,00 x (20,00% CPP + 2,00% RAT + 5,80% terceiros)</t>
        </is>
      </c>
      <c r="D143" s="7" t="n">
        <v>166800</v>
      </c>
      <c r="E143" s="6" t="inlineStr">
        <is>
          <t>Lei 8.212/1991, art. 22, I e II</t>
        </is>
      </c>
    </row>
    <row r="144">
      <c r="A144" s="5" t="inlineStr">
        <is>
          <t>E4-LR</t>
        </is>
      </c>
      <c r="B144" s="6" t="inlineStr">
        <is>
          <t>INSS patronal sobre o pró-labore</t>
        </is>
      </c>
      <c r="C144" s="6" t="inlineStr">
        <is>
          <t>R$ 60.000,00 x 20,00%</t>
        </is>
      </c>
      <c r="D144" s="7" t="n">
        <v>12000</v>
      </c>
      <c r="E144" s="6" t="inlineStr">
        <is>
          <t>Lei 8.212/1991, art. 22, III</t>
        </is>
      </c>
    </row>
    <row r="145">
      <c r="A145" s="5" t="inlineStr">
        <is>
          <t>E4-LR</t>
        </is>
      </c>
      <c r="B145" s="6" t="inlineStr">
        <is>
          <t>Lucro antes do IRPJ/CSLL</t>
        </is>
      </c>
      <c r="C145" s="6" t="inlineStr">
        <is>
          <t>R$ 3.000.000,00 receita - R$ 1.500.000,00 compras - R$ 300.000,00 despesas - R$ 660.000,00 folha e pró-labore - R$ 48.000,00 FGTS - R$ 569.050,00 tributos dedutíveis</t>
        </is>
      </c>
      <c r="D145" s="7" t="n">
        <v>-77050</v>
      </c>
      <c r="E145" s="6" t="inlineStr">
        <is>
          <t>Lei 6.404/1976 (DRE)</t>
        </is>
      </c>
    </row>
    <row r="146">
      <c r="A146" s="5" t="inlineStr">
        <is>
          <t>E4-LR</t>
        </is>
      </c>
      <c r="B146" s="6" t="inlineStr">
        <is>
          <t>IRPJ</t>
        </is>
      </c>
      <c r="C146" s="6" t="inlineStr">
        <is>
          <t>R$ 0,00 x 15% + 10% sobre o que exceder R$ 240.000,00</t>
        </is>
      </c>
      <c r="D146" s="7" t="n">
        <v>0</v>
      </c>
      <c r="E146" s="6" t="inlineStr">
        <is>
          <t>Lei 9.249/1995, art. 3º; Lei 9.430/1996, art. 2º</t>
        </is>
      </c>
    </row>
    <row r="147">
      <c r="A147" s="5" t="inlineStr">
        <is>
          <t>E4-LR</t>
        </is>
      </c>
      <c r="B147" s="6" t="inlineStr">
        <is>
          <t>CSLL</t>
        </is>
      </c>
      <c r="C147" s="6" t="inlineStr">
        <is>
          <t>R$ 0,00 x 9%</t>
        </is>
      </c>
      <c r="D147" s="7" t="n">
        <v>0</v>
      </c>
      <c r="E147" s="6" t="inlineStr">
        <is>
          <t>Lei 7.689/1988, art. 3º</t>
        </is>
      </c>
    </row>
    <row r="148">
      <c r="A148" s="5" t="inlineStr">
        <is>
          <t>E5-SN</t>
        </is>
      </c>
      <c r="B148" s="6" t="inlineStr">
        <is>
          <t>Alíquota efetiva - Anexo IV, 4ª faixa</t>
        </is>
      </c>
      <c r="C148" s="6" t="inlineStr">
        <is>
          <t>(R$ 900.000,00 x 14,00% - R$ 39.780,00) / R$ 900.000,00 = 9,5800%</t>
        </is>
      </c>
      <c r="D148" s="19" t="n">
        <v>0.0958</v>
      </c>
      <c r="E148" s="6" t="inlineStr">
        <is>
          <t>LC 123/2006, art. 18, §1º e §1º-A</t>
        </is>
      </c>
    </row>
    <row r="149">
      <c r="A149" s="5" t="inlineStr">
        <is>
          <t>E5-SN</t>
        </is>
      </c>
      <c r="B149" s="6" t="inlineStr">
        <is>
          <t>DAS anual</t>
        </is>
      </c>
      <c r="C149" s="6" t="inlineStr">
        <is>
          <t>R$ 900.000,00 x 9,5800%</t>
        </is>
      </c>
      <c r="D149" s="7" t="n">
        <v>86220</v>
      </c>
      <c r="E149" s="6" t="inlineStr">
        <is>
          <t>LC 123/2006, art. 13</t>
        </is>
      </c>
    </row>
    <row r="150">
      <c r="A150" s="5" t="inlineStr">
        <is>
          <t>E5-SN</t>
        </is>
      </c>
      <c r="B150" s="6" t="inlineStr">
        <is>
          <t>CPP fora do DAS (Anexo IV)</t>
        </is>
      </c>
      <c r="C150" s="6" t="inlineStr">
        <is>
          <t>R$ 300.000,00 x (20,00% + 2,00% RAT) + R$ 36.000,00 x 20,00%</t>
        </is>
      </c>
      <c r="D150" s="7" t="n">
        <v>73200</v>
      </c>
      <c r="E150" s="6" t="inlineStr">
        <is>
          <t>LC 123/2006, art. 18, §5º-C e art. 13, VI</t>
        </is>
      </c>
    </row>
    <row r="151">
      <c r="A151" s="5" t="inlineStr">
        <is>
          <t>E5-LP</t>
        </is>
      </c>
      <c r="B151" s="6" t="inlineStr">
        <is>
          <t>Percentuais de presunção</t>
        </is>
      </c>
      <c r="C151" s="6" t="inlineStr">
        <is>
          <t>Prestação de serviços em geral: IRPJ 32,0%, CSLL 32,0%</t>
        </is>
      </c>
      <c r="D151" s="19" t="n">
        <v>0.32</v>
      </c>
      <c r="E151" s="6" t="inlineStr">
        <is>
          <t>Lei 9.249/1995, art. 15, §1º e art. 20</t>
        </is>
      </c>
    </row>
    <row r="152">
      <c r="A152" s="5" t="inlineStr">
        <is>
          <t>E5-LP</t>
        </is>
      </c>
      <c r="B152" s="6" t="inlineStr">
        <is>
          <t>1º tri - base presumida IRPJ</t>
        </is>
      </c>
      <c r="C152" s="6" t="inlineStr">
        <is>
          <t>R$ 225.000,00 x 32,0%</t>
        </is>
      </c>
      <c r="D152" s="7" t="n">
        <v>72000</v>
      </c>
      <c r="E152" s="6" t="inlineStr">
        <is>
          <t>Lei 9.249/1995, arts. 15 e 20</t>
        </is>
      </c>
    </row>
    <row r="153">
      <c r="A153" s="5" t="inlineStr">
        <is>
          <t>E5-LP</t>
        </is>
      </c>
      <c r="B153" s="6" t="inlineStr">
        <is>
          <t>1º tri - IRPJ</t>
        </is>
      </c>
      <c r="C153" s="6" t="inlineStr">
        <is>
          <t>R$ 72.000,00 x 15% + adicional 10% sobre o que exceder R$ 60.000,00</t>
        </is>
      </c>
      <c r="D153" s="7" t="n">
        <v>12000</v>
      </c>
      <c r="E153" s="6" t="inlineStr">
        <is>
          <t>Lei 9.430/1996, arts. 3º e 4º</t>
        </is>
      </c>
    </row>
    <row r="154">
      <c r="A154" s="5" t="inlineStr">
        <is>
          <t>E5-LP</t>
        </is>
      </c>
      <c r="B154" s="6" t="inlineStr">
        <is>
          <t>1º tri - base presumida CSLL</t>
        </is>
      </c>
      <c r="C154" s="6" t="inlineStr">
        <is>
          <t>R$ 225.000,00 x 32,0%</t>
        </is>
      </c>
      <c r="D154" s="7" t="n">
        <v>72000</v>
      </c>
      <c r="E154" s="6" t="inlineStr">
        <is>
          <t>Lei 9.249/1995, arts. 15 e 20</t>
        </is>
      </c>
    </row>
    <row r="155">
      <c r="A155" s="5" t="inlineStr">
        <is>
          <t>E5-LP</t>
        </is>
      </c>
      <c r="B155" s="6" t="inlineStr">
        <is>
          <t>1º tri - CSLL</t>
        </is>
      </c>
      <c r="C155" s="6" t="inlineStr">
        <is>
          <t>R$ 72.000,00 x 9%</t>
        </is>
      </c>
      <c r="D155" s="7" t="n">
        <v>6480</v>
      </c>
      <c r="E155" s="6" t="inlineStr">
        <is>
          <t>Lei 7.689/1988, art. 3º</t>
        </is>
      </c>
    </row>
    <row r="156">
      <c r="A156" s="5" t="inlineStr">
        <is>
          <t>E5-LP</t>
        </is>
      </c>
      <c r="B156" s="6" t="inlineStr">
        <is>
          <t>2º tri - base presumida IRPJ</t>
        </is>
      </c>
      <c r="C156" s="6" t="inlineStr">
        <is>
          <t>R$ 225.000,00 x 32,0%</t>
        </is>
      </c>
      <c r="D156" s="7" t="n">
        <v>72000</v>
      </c>
      <c r="E156" s="6" t="inlineStr">
        <is>
          <t>Lei 9.249/1995, arts. 15 e 20</t>
        </is>
      </c>
    </row>
    <row r="157">
      <c r="A157" s="5" t="inlineStr">
        <is>
          <t>E5-LP</t>
        </is>
      </c>
      <c r="B157" s="6" t="inlineStr">
        <is>
          <t>2º tri - IRPJ</t>
        </is>
      </c>
      <c r="C157" s="6" t="inlineStr">
        <is>
          <t>R$ 72.000,00 x 15% + adicional 10% sobre o que exceder R$ 60.000,00</t>
        </is>
      </c>
      <c r="D157" s="7" t="n">
        <v>12000</v>
      </c>
      <c r="E157" s="6" t="inlineStr">
        <is>
          <t>Lei 9.430/1996, arts. 3º e 4º</t>
        </is>
      </c>
    </row>
    <row r="158">
      <c r="A158" s="5" t="inlineStr">
        <is>
          <t>E5-LP</t>
        </is>
      </c>
      <c r="B158" s="6" t="inlineStr">
        <is>
          <t>2º tri - base presumida CSLL</t>
        </is>
      </c>
      <c r="C158" s="6" t="inlineStr">
        <is>
          <t>R$ 225.000,00 x 32,0%</t>
        </is>
      </c>
      <c r="D158" s="7" t="n">
        <v>72000</v>
      </c>
      <c r="E158" s="6" t="inlineStr">
        <is>
          <t>Lei 9.249/1995, arts. 15 e 20</t>
        </is>
      </c>
    </row>
    <row r="159">
      <c r="A159" s="5" t="inlineStr">
        <is>
          <t>E5-LP</t>
        </is>
      </c>
      <c r="B159" s="6" t="inlineStr">
        <is>
          <t>2º tri - CSLL</t>
        </is>
      </c>
      <c r="C159" s="6" t="inlineStr">
        <is>
          <t>R$ 72.000,00 x 9%</t>
        </is>
      </c>
      <c r="D159" s="7" t="n">
        <v>6480</v>
      </c>
      <c r="E159" s="6" t="inlineStr">
        <is>
          <t>Lei 7.689/1988, art. 3º</t>
        </is>
      </c>
    </row>
    <row r="160">
      <c r="A160" s="5" t="inlineStr">
        <is>
          <t>E5-LP</t>
        </is>
      </c>
      <c r="B160" s="6" t="inlineStr">
        <is>
          <t>3º tri - base presumida IRPJ</t>
        </is>
      </c>
      <c r="C160" s="6" t="inlineStr">
        <is>
          <t>R$ 225.000,00 x 32,0%</t>
        </is>
      </c>
      <c r="D160" s="7" t="n">
        <v>72000</v>
      </c>
      <c r="E160" s="6" t="inlineStr">
        <is>
          <t>Lei 9.249/1995, arts. 15 e 20</t>
        </is>
      </c>
    </row>
    <row r="161">
      <c r="A161" s="5" t="inlineStr">
        <is>
          <t>E5-LP</t>
        </is>
      </c>
      <c r="B161" s="6" t="inlineStr">
        <is>
          <t>3º tri - IRPJ</t>
        </is>
      </c>
      <c r="C161" s="6" t="inlineStr">
        <is>
          <t>R$ 72.000,00 x 15% + adicional 10% sobre o que exceder R$ 60.000,00</t>
        </is>
      </c>
      <c r="D161" s="7" t="n">
        <v>12000</v>
      </c>
      <c r="E161" s="6" t="inlineStr">
        <is>
          <t>Lei 9.430/1996, arts. 3º e 4º</t>
        </is>
      </c>
    </row>
    <row r="162">
      <c r="A162" s="5" t="inlineStr">
        <is>
          <t>E5-LP</t>
        </is>
      </c>
      <c r="B162" s="6" t="inlineStr">
        <is>
          <t>3º tri - base presumida CSLL</t>
        </is>
      </c>
      <c r="C162" s="6" t="inlineStr">
        <is>
          <t>R$ 225.000,00 x 32,0%</t>
        </is>
      </c>
      <c r="D162" s="7" t="n">
        <v>72000</v>
      </c>
      <c r="E162" s="6" t="inlineStr">
        <is>
          <t>Lei 9.249/1995, arts. 15 e 20</t>
        </is>
      </c>
    </row>
    <row r="163">
      <c r="A163" s="5" t="inlineStr">
        <is>
          <t>E5-LP</t>
        </is>
      </c>
      <c r="B163" s="6" t="inlineStr">
        <is>
          <t>3º tri - CSLL</t>
        </is>
      </c>
      <c r="C163" s="6" t="inlineStr">
        <is>
          <t>R$ 72.000,00 x 9%</t>
        </is>
      </c>
      <c r="D163" s="7" t="n">
        <v>6480</v>
      </c>
      <c r="E163" s="6" t="inlineStr">
        <is>
          <t>Lei 7.689/1988, art. 3º</t>
        </is>
      </c>
    </row>
    <row r="164">
      <c r="A164" s="5" t="inlineStr">
        <is>
          <t>E5-LP</t>
        </is>
      </c>
      <c r="B164" s="6" t="inlineStr">
        <is>
          <t>4º tri - base presumida IRPJ</t>
        </is>
      </c>
      <c r="C164" s="6" t="inlineStr">
        <is>
          <t>R$ 225.000,00 x 32,0%</t>
        </is>
      </c>
      <c r="D164" s="7" t="n">
        <v>72000</v>
      </c>
      <c r="E164" s="6" t="inlineStr">
        <is>
          <t>Lei 9.249/1995, arts. 15 e 20</t>
        </is>
      </c>
    </row>
    <row r="165">
      <c r="A165" s="5" t="inlineStr">
        <is>
          <t>E5-LP</t>
        </is>
      </c>
      <c r="B165" s="6" t="inlineStr">
        <is>
          <t>4º tri - IRPJ</t>
        </is>
      </c>
      <c r="C165" s="6" t="inlineStr">
        <is>
          <t>R$ 72.000,00 x 15% + adicional 10% sobre o que exceder R$ 60.000,00</t>
        </is>
      </c>
      <c r="D165" s="7" t="n">
        <v>12000</v>
      </c>
      <c r="E165" s="6" t="inlineStr">
        <is>
          <t>Lei 9.430/1996, arts. 3º e 4º</t>
        </is>
      </c>
    </row>
    <row r="166">
      <c r="A166" s="5" t="inlineStr">
        <is>
          <t>E5-LP</t>
        </is>
      </c>
      <c r="B166" s="6" t="inlineStr">
        <is>
          <t>4º tri - base presumida CSLL</t>
        </is>
      </c>
      <c r="C166" s="6" t="inlineStr">
        <is>
          <t>R$ 225.000,00 x 32,0%</t>
        </is>
      </c>
      <c r="D166" s="7" t="n">
        <v>72000</v>
      </c>
      <c r="E166" s="6" t="inlineStr">
        <is>
          <t>Lei 9.249/1995, arts. 15 e 20</t>
        </is>
      </c>
    </row>
    <row r="167">
      <c r="A167" s="5" t="inlineStr">
        <is>
          <t>E5-LP</t>
        </is>
      </c>
      <c r="B167" s="6" t="inlineStr">
        <is>
          <t>4º tri - CSLL</t>
        </is>
      </c>
      <c r="C167" s="6" t="inlineStr">
        <is>
          <t>R$ 72.000,00 x 9%</t>
        </is>
      </c>
      <c r="D167" s="7" t="n">
        <v>6480</v>
      </c>
      <c r="E167" s="6" t="inlineStr">
        <is>
          <t>Lei 7.689/1988, art. 3º</t>
        </is>
      </c>
    </row>
    <row r="168">
      <c r="A168" s="5" t="inlineStr">
        <is>
          <t>E5-LP</t>
        </is>
      </c>
      <c r="B168" s="6" t="inlineStr">
        <is>
          <t>PIS cumulativo</t>
        </is>
      </c>
      <c r="C168" s="6" t="inlineStr">
        <is>
          <t>R$ 900.000,00 x 0,65%</t>
        </is>
      </c>
      <c r="D168" s="7" t="n">
        <v>5850</v>
      </c>
      <c r="E168" s="6" t="inlineStr">
        <is>
          <t>Lei 9.715/1998</t>
        </is>
      </c>
    </row>
    <row r="169">
      <c r="A169" s="5" t="inlineStr">
        <is>
          <t>E5-LP</t>
        </is>
      </c>
      <c r="B169" s="6" t="inlineStr">
        <is>
          <t>Cofins cumulativa</t>
        </is>
      </c>
      <c r="C169" s="6" t="inlineStr">
        <is>
          <t>R$ 900.000,00 x 3,00%</t>
        </is>
      </c>
      <c r="D169" s="7" t="n">
        <v>27000</v>
      </c>
      <c r="E169" s="6" t="inlineStr">
        <is>
          <t>Lei 9.718/1998</t>
        </is>
      </c>
    </row>
    <row r="170">
      <c r="A170" s="5" t="inlineStr">
        <is>
          <t>E5-LP</t>
        </is>
      </c>
      <c r="B170" s="6" t="inlineStr">
        <is>
          <t>ISS</t>
        </is>
      </c>
      <c r="C170" s="6" t="inlineStr">
        <is>
          <t>R$ 900.000,00 x 3,00%</t>
        </is>
      </c>
      <c r="D170" s="7" t="n">
        <v>27000</v>
      </c>
      <c r="E170" s="6" t="inlineStr">
        <is>
          <t>LC 116/2003 e lei municipal</t>
        </is>
      </c>
    </row>
    <row r="171">
      <c r="A171" s="5" t="inlineStr">
        <is>
          <t>E5-LP</t>
        </is>
      </c>
      <c r="B171" s="6" t="inlineStr">
        <is>
          <t>INSS patronal sobre a folha CLT</t>
        </is>
      </c>
      <c r="C171" s="6" t="inlineStr">
        <is>
          <t>R$ 300.000,00 x (20,00% CPP + 2,00% RAT + 5,80% terceiros)</t>
        </is>
      </c>
      <c r="D171" s="7" t="n">
        <v>83400</v>
      </c>
      <c r="E171" s="6" t="inlineStr">
        <is>
          <t>Lei 8.212/1991, art. 22, I e II</t>
        </is>
      </c>
    </row>
    <row r="172">
      <c r="A172" s="5" t="inlineStr">
        <is>
          <t>E5-LP</t>
        </is>
      </c>
      <c r="B172" s="6" t="inlineStr">
        <is>
          <t>INSS patronal sobre o pró-labore</t>
        </is>
      </c>
      <c r="C172" s="6" t="inlineStr">
        <is>
          <t>R$ 36.000,00 x 20,00%</t>
        </is>
      </c>
      <c r="D172" s="7" t="n">
        <v>7200</v>
      </c>
      <c r="E172" s="6" t="inlineStr">
        <is>
          <t>Lei 8.212/1991, art. 22, III</t>
        </is>
      </c>
    </row>
    <row r="173">
      <c r="A173" s="5" t="inlineStr">
        <is>
          <t>E5-LR</t>
        </is>
      </c>
      <c r="B173" s="6" t="inlineStr">
        <is>
          <t>PIS - débito</t>
        </is>
      </c>
      <c r="C173" s="6" t="inlineStr">
        <is>
          <t>R$ 900.000,00 x 1,65%</t>
        </is>
      </c>
      <c r="D173" s="7" t="n">
        <v>14850</v>
      </c>
      <c r="E173" s="6" t="inlineStr">
        <is>
          <t>Lei 10.637/2002</t>
        </is>
      </c>
    </row>
    <row r="174">
      <c r="A174" s="5" t="inlineStr">
        <is>
          <t>E5-LR</t>
        </is>
      </c>
      <c r="B174" s="6" t="inlineStr">
        <is>
          <t>PIS - crédito</t>
        </is>
      </c>
      <c r="C174" s="6" t="inlineStr">
        <is>
          <t>(R$ 0,00 compras + R$ 0,00 despesas creditáveis) x 1,65%</t>
        </is>
      </c>
      <c r="D174" s="7" t="n">
        <v>0</v>
      </c>
      <c r="E174" s="6" t="inlineStr">
        <is>
          <t>Lei 10.637/2002, art. 3º</t>
        </is>
      </c>
    </row>
    <row r="175">
      <c r="A175" s="5" t="inlineStr">
        <is>
          <t>E5-LR</t>
        </is>
      </c>
      <c r="B175" s="6" t="inlineStr">
        <is>
          <t>Cofins - débito</t>
        </is>
      </c>
      <c r="C175" s="6" t="inlineStr">
        <is>
          <t>R$ 900.000,00 x 7,60%</t>
        </is>
      </c>
      <c r="D175" s="7" t="n">
        <v>68400</v>
      </c>
      <c r="E175" s="6" t="inlineStr">
        <is>
          <t>Lei 10.833/2003</t>
        </is>
      </c>
    </row>
    <row r="176">
      <c r="A176" s="5" t="inlineStr">
        <is>
          <t>E5-LR</t>
        </is>
      </c>
      <c r="B176" s="6" t="inlineStr">
        <is>
          <t>Cofins - crédito</t>
        </is>
      </c>
      <c r="C176" s="6" t="inlineStr">
        <is>
          <t>(R$ 0,00 compras + R$ 0,00 despesas creditáveis) x 7,60%</t>
        </is>
      </c>
      <c r="D176" s="7" t="n">
        <v>0</v>
      </c>
      <c r="E176" s="6" t="inlineStr">
        <is>
          <t>Lei 10.833/2003, art. 3º</t>
        </is>
      </c>
    </row>
    <row r="177">
      <c r="A177" s="5" t="inlineStr">
        <is>
          <t>E5-LR</t>
        </is>
      </c>
      <c r="B177" s="6" t="inlineStr">
        <is>
          <t>ISS</t>
        </is>
      </c>
      <c r="C177" s="6" t="inlineStr">
        <is>
          <t>R$ 900.000,00 x 3,00%</t>
        </is>
      </c>
      <c r="D177" s="7" t="n">
        <v>27000</v>
      </c>
      <c r="E177" s="6" t="inlineStr">
        <is>
          <t>LC 116/2003 e lei municipal</t>
        </is>
      </c>
    </row>
    <row r="178">
      <c r="A178" s="5" t="inlineStr">
        <is>
          <t>E5-LR</t>
        </is>
      </c>
      <c r="B178" s="6" t="inlineStr">
        <is>
          <t>INSS patronal sobre a folha CLT</t>
        </is>
      </c>
      <c r="C178" s="6" t="inlineStr">
        <is>
          <t>R$ 300.000,00 x (20,00% CPP + 2,00% RAT + 5,80% terceiros)</t>
        </is>
      </c>
      <c r="D178" s="7" t="n">
        <v>83400</v>
      </c>
      <c r="E178" s="6" t="inlineStr">
        <is>
          <t>Lei 8.212/1991, art. 22, I e II</t>
        </is>
      </c>
    </row>
    <row r="179">
      <c r="A179" s="5" t="inlineStr">
        <is>
          <t>E5-LR</t>
        </is>
      </c>
      <c r="B179" s="6" t="inlineStr">
        <is>
          <t>INSS patronal sobre o pró-labore</t>
        </is>
      </c>
      <c r="C179" s="6" t="inlineStr">
        <is>
          <t>R$ 36.000,00 x 20,00%</t>
        </is>
      </c>
      <c r="D179" s="7" t="n">
        <v>7200</v>
      </c>
      <c r="E179" s="6" t="inlineStr">
        <is>
          <t>Lei 8.212/1991, art. 22, III</t>
        </is>
      </c>
    </row>
    <row r="180">
      <c r="A180" s="5" t="inlineStr">
        <is>
          <t>E5-LR</t>
        </is>
      </c>
      <c r="B180" s="6" t="inlineStr">
        <is>
          <t>Lucro antes do IRPJ/CSLL</t>
        </is>
      </c>
      <c r="C180" s="6" t="inlineStr">
        <is>
          <t>R$ 900.000,00 receita - R$ 0,00 compras - R$ 200.000,00 despesas - R$ 336.000,00 folha e pró-labore - R$ 24.000,00 FGTS - R$ 200.850,00 tributos dedutíveis</t>
        </is>
      </c>
      <c r="D180" s="7" t="n">
        <v>139150</v>
      </c>
      <c r="E180" s="6" t="inlineStr">
        <is>
          <t>Lei 6.404/1976 (DRE)</t>
        </is>
      </c>
    </row>
    <row r="181">
      <c r="A181" s="5" t="inlineStr">
        <is>
          <t>E5-LR</t>
        </is>
      </c>
      <c r="B181" s="6" t="inlineStr">
        <is>
          <t>IRPJ</t>
        </is>
      </c>
      <c r="C181" s="6" t="inlineStr">
        <is>
          <t>R$ 139.150,00 x 15% + 10% sobre o que exceder R$ 240.000,00</t>
        </is>
      </c>
      <c r="D181" s="7" t="n">
        <v>20872.5</v>
      </c>
      <c r="E181" s="6" t="inlineStr">
        <is>
          <t>Lei 9.249/1995, art. 3º; Lei 9.430/1996, art. 2º</t>
        </is>
      </c>
    </row>
    <row r="182">
      <c r="A182" s="5" t="inlineStr">
        <is>
          <t>E5-LR</t>
        </is>
      </c>
      <c r="B182" s="6" t="inlineStr">
        <is>
          <t>CSLL</t>
        </is>
      </c>
      <c r="C182" s="6" t="inlineStr">
        <is>
          <t>R$ 139.150,00 x 9%</t>
        </is>
      </c>
      <c r="D182" s="7" t="n">
        <v>12523.5</v>
      </c>
      <c r="E182" s="6" t="inlineStr">
        <is>
          <t>Lei 7.689/1988, art. 3º</t>
        </is>
      </c>
    </row>
    <row r="183">
      <c r="A183" s="5" t="inlineStr">
        <is>
          <t>E6-LP</t>
        </is>
      </c>
      <c r="B183" s="6" t="inlineStr">
        <is>
          <t>Percentuais de presunção</t>
        </is>
      </c>
      <c r="C183" s="6" t="inlineStr">
        <is>
          <t>Prestação de serviços em geral: IRPJ 32,0%, CSLL 32,0%</t>
        </is>
      </c>
      <c r="D183" s="19" t="n">
        <v>0.32</v>
      </c>
      <c r="E183" s="6" t="inlineStr">
        <is>
          <t>Lei 9.249/1995, art. 15, §1º e art. 20</t>
        </is>
      </c>
    </row>
    <row r="184">
      <c r="A184" s="5" t="inlineStr">
        <is>
          <t>E6-LP</t>
        </is>
      </c>
      <c r="B184" s="6" t="inlineStr">
        <is>
          <t>1º tri - base presumida IRPJ</t>
        </is>
      </c>
      <c r="C184" s="6" t="inlineStr">
        <is>
          <t>R$ 2.000.000,00 x 32,0% + acréscimo LC 224/2025: R$ 750.000,00 excedente x 32,0% x 10%</t>
        </is>
      </c>
      <c r="D184" s="7" t="n">
        <v>664000</v>
      </c>
      <c r="E184" s="6" t="inlineStr">
        <is>
          <t>Lei 9.249/1995, arts. 15 e 20</t>
        </is>
      </c>
    </row>
    <row r="185">
      <c r="A185" s="5" t="inlineStr">
        <is>
          <t>E6-LP</t>
        </is>
      </c>
      <c r="B185" s="6" t="inlineStr">
        <is>
          <t>1º tri - IRPJ</t>
        </is>
      </c>
      <c r="C185" s="6" t="inlineStr">
        <is>
          <t>R$ 664.000,00 x 15% + adicional 10% sobre o que exceder R$ 60.000,00</t>
        </is>
      </c>
      <c r="D185" s="7" t="n">
        <v>160000</v>
      </c>
      <c r="E185" s="6" t="inlineStr">
        <is>
          <t>Lei 9.430/1996, arts. 3º e 4º</t>
        </is>
      </c>
    </row>
    <row r="186">
      <c r="A186" s="5" t="inlineStr">
        <is>
          <t>E6-LP</t>
        </is>
      </c>
      <c r="B186" s="6" t="inlineStr">
        <is>
          <t>1º tri - base presumida CSLL</t>
        </is>
      </c>
      <c r="C186" s="6" t="inlineStr">
        <is>
          <t>R$ 2.000.000,00 x 32,0%</t>
        </is>
      </c>
      <c r="D186" s="7" t="n">
        <v>640000</v>
      </c>
      <c r="E186" s="6" t="inlineStr">
        <is>
          <t>Lei 9.249/1995, arts. 15 e 20</t>
        </is>
      </c>
    </row>
    <row r="187">
      <c r="A187" s="5" t="inlineStr">
        <is>
          <t>E6-LP</t>
        </is>
      </c>
      <c r="B187" s="6" t="inlineStr">
        <is>
          <t>1º tri - CSLL</t>
        </is>
      </c>
      <c r="C187" s="6" t="inlineStr">
        <is>
          <t>R$ 640.000,00 x 9%</t>
        </is>
      </c>
      <c r="D187" s="7" t="n">
        <v>57600</v>
      </c>
      <c r="E187" s="6" t="inlineStr">
        <is>
          <t>Lei 7.689/1988, art. 3º</t>
        </is>
      </c>
    </row>
    <row r="188">
      <c r="A188" s="5" t="inlineStr">
        <is>
          <t>E6-LP</t>
        </is>
      </c>
      <c r="B188" s="6" t="inlineStr">
        <is>
          <t>2º tri - base presumida IRPJ</t>
        </is>
      </c>
      <c r="C188" s="6" t="inlineStr">
        <is>
          <t>R$ 2.000.000,00 x 32,0% + acréscimo LC 224/2025: R$ 750.000,00 excedente x 32,0% x 10%</t>
        </is>
      </c>
      <c r="D188" s="7" t="n">
        <v>664000</v>
      </c>
      <c r="E188" s="6" t="inlineStr">
        <is>
          <t>Lei 9.249/1995, arts. 15 e 20</t>
        </is>
      </c>
    </row>
    <row r="189">
      <c r="A189" s="5" t="inlineStr">
        <is>
          <t>E6-LP</t>
        </is>
      </c>
      <c r="B189" s="6" t="inlineStr">
        <is>
          <t>2º tri - IRPJ</t>
        </is>
      </c>
      <c r="C189" s="6" t="inlineStr">
        <is>
          <t>R$ 664.000,00 x 15% + adicional 10% sobre o que exceder R$ 60.000,00</t>
        </is>
      </c>
      <c r="D189" s="7" t="n">
        <v>160000</v>
      </c>
      <c r="E189" s="6" t="inlineStr">
        <is>
          <t>Lei 9.430/1996, arts. 3º e 4º</t>
        </is>
      </c>
    </row>
    <row r="190">
      <c r="A190" s="5" t="inlineStr">
        <is>
          <t>E6-LP</t>
        </is>
      </c>
      <c r="B190" s="6" t="inlineStr">
        <is>
          <t>2º tri - base presumida CSLL</t>
        </is>
      </c>
      <c r="C190" s="6" t="inlineStr">
        <is>
          <t>R$ 2.000.000,00 x 32,0% + acréscimo LC 224/2025: R$ 750.000,00 excedente x 32,0% x 10%</t>
        </is>
      </c>
      <c r="D190" s="7" t="n">
        <v>664000</v>
      </c>
      <c r="E190" s="6" t="inlineStr">
        <is>
          <t>Lei 9.249/1995, arts. 15 e 20</t>
        </is>
      </c>
    </row>
    <row r="191">
      <c r="A191" s="5" t="inlineStr">
        <is>
          <t>E6-LP</t>
        </is>
      </c>
      <c r="B191" s="6" t="inlineStr">
        <is>
          <t>2º tri - CSLL</t>
        </is>
      </c>
      <c r="C191" s="6" t="inlineStr">
        <is>
          <t>R$ 664.000,00 x 9%</t>
        </is>
      </c>
      <c r="D191" s="7" t="n">
        <v>59760</v>
      </c>
      <c r="E191" s="6" t="inlineStr">
        <is>
          <t>Lei 7.689/1988, art. 3º</t>
        </is>
      </c>
    </row>
    <row r="192">
      <c r="A192" s="5" t="inlineStr">
        <is>
          <t>E6-LP</t>
        </is>
      </c>
      <c r="B192" s="6" t="inlineStr">
        <is>
          <t>3º tri - base presumida IRPJ</t>
        </is>
      </c>
      <c r="C192" s="6" t="inlineStr">
        <is>
          <t>R$ 2.000.000,00 x 32,0% + acréscimo LC 224/2025: R$ 750.000,00 excedente x 32,0% x 10%</t>
        </is>
      </c>
      <c r="D192" s="7" t="n">
        <v>664000</v>
      </c>
      <c r="E192" s="6" t="inlineStr">
        <is>
          <t>Lei 9.249/1995, arts. 15 e 20</t>
        </is>
      </c>
    </row>
    <row r="193">
      <c r="A193" s="5" t="inlineStr">
        <is>
          <t>E6-LP</t>
        </is>
      </c>
      <c r="B193" s="6" t="inlineStr">
        <is>
          <t>3º tri - IRPJ</t>
        </is>
      </c>
      <c r="C193" s="6" t="inlineStr">
        <is>
          <t>R$ 664.000,00 x 15% + adicional 10% sobre o que exceder R$ 60.000,00</t>
        </is>
      </c>
      <c r="D193" s="7" t="n">
        <v>160000</v>
      </c>
      <c r="E193" s="6" t="inlineStr">
        <is>
          <t>Lei 9.430/1996, arts. 3º e 4º</t>
        </is>
      </c>
    </row>
    <row r="194">
      <c r="A194" s="5" t="inlineStr">
        <is>
          <t>E6-LP</t>
        </is>
      </c>
      <c r="B194" s="6" t="inlineStr">
        <is>
          <t>3º tri - base presumida CSLL</t>
        </is>
      </c>
      <c r="C194" s="6" t="inlineStr">
        <is>
          <t>R$ 2.000.000,00 x 32,0% + acréscimo LC 224/2025: R$ 750.000,00 excedente x 32,0% x 10%</t>
        </is>
      </c>
      <c r="D194" s="7" t="n">
        <v>664000</v>
      </c>
      <c r="E194" s="6" t="inlineStr">
        <is>
          <t>Lei 9.249/1995, arts. 15 e 20</t>
        </is>
      </c>
    </row>
    <row r="195">
      <c r="A195" s="5" t="inlineStr">
        <is>
          <t>E6-LP</t>
        </is>
      </c>
      <c r="B195" s="6" t="inlineStr">
        <is>
          <t>3º tri - CSLL</t>
        </is>
      </c>
      <c r="C195" s="6" t="inlineStr">
        <is>
          <t>R$ 664.000,00 x 9%</t>
        </is>
      </c>
      <c r="D195" s="7" t="n">
        <v>59760</v>
      </c>
      <c r="E195" s="6" t="inlineStr">
        <is>
          <t>Lei 7.689/1988, art. 3º</t>
        </is>
      </c>
    </row>
    <row r="196">
      <c r="A196" s="5" t="inlineStr">
        <is>
          <t>E6-LP</t>
        </is>
      </c>
      <c r="B196" s="6" t="inlineStr">
        <is>
          <t>4º tri - base presumida IRPJ</t>
        </is>
      </c>
      <c r="C196" s="6" t="inlineStr">
        <is>
          <t>R$ 2.000.000,00 x 32,0% + acréscimo LC 224/2025: R$ 750.000,00 excedente x 32,0% x 10%</t>
        </is>
      </c>
      <c r="D196" s="7" t="n">
        <v>664000</v>
      </c>
      <c r="E196" s="6" t="inlineStr">
        <is>
          <t>Lei 9.249/1995, arts. 15 e 20</t>
        </is>
      </c>
    </row>
    <row r="197">
      <c r="A197" s="5" t="inlineStr">
        <is>
          <t>E6-LP</t>
        </is>
      </c>
      <c r="B197" s="6" t="inlineStr">
        <is>
          <t>4º tri - IRPJ</t>
        </is>
      </c>
      <c r="C197" s="6" t="inlineStr">
        <is>
          <t>R$ 664.000,00 x 15% + adicional 10% sobre o que exceder R$ 60.000,00</t>
        </is>
      </c>
      <c r="D197" s="7" t="n">
        <v>160000</v>
      </c>
      <c r="E197" s="6" t="inlineStr">
        <is>
          <t>Lei 9.430/1996, arts. 3º e 4º</t>
        </is>
      </c>
    </row>
    <row r="198">
      <c r="A198" s="5" t="inlineStr">
        <is>
          <t>E6-LP</t>
        </is>
      </c>
      <c r="B198" s="6" t="inlineStr">
        <is>
          <t>4º tri - base presumida CSLL</t>
        </is>
      </c>
      <c r="C198" s="6" t="inlineStr">
        <is>
          <t>R$ 2.000.000,00 x 32,0% + acréscimo LC 224/2025: R$ 750.000,00 excedente x 32,0% x 10%</t>
        </is>
      </c>
      <c r="D198" s="7" t="n">
        <v>664000</v>
      </c>
      <c r="E198" s="6" t="inlineStr">
        <is>
          <t>Lei 9.249/1995, arts. 15 e 20</t>
        </is>
      </c>
    </row>
    <row r="199">
      <c r="A199" s="5" t="inlineStr">
        <is>
          <t>E6-LP</t>
        </is>
      </c>
      <c r="B199" s="6" t="inlineStr">
        <is>
          <t>4º tri - CSLL</t>
        </is>
      </c>
      <c r="C199" s="6" t="inlineStr">
        <is>
          <t>R$ 664.000,00 x 9%</t>
        </is>
      </c>
      <c r="D199" s="7" t="n">
        <v>59760</v>
      </c>
      <c r="E199" s="6" t="inlineStr">
        <is>
          <t>Lei 7.689/1988, art. 3º</t>
        </is>
      </c>
    </row>
    <row r="200">
      <c r="A200" s="5" t="inlineStr">
        <is>
          <t>E6-LP</t>
        </is>
      </c>
      <c r="B200" s="6" t="inlineStr">
        <is>
          <t>PIS cumulativo</t>
        </is>
      </c>
      <c r="C200" s="6" t="inlineStr">
        <is>
          <t>R$ 8.000.000,00 x 0,65%</t>
        </is>
      </c>
      <c r="D200" s="7" t="n">
        <v>52000</v>
      </c>
      <c r="E200" s="6" t="inlineStr">
        <is>
          <t>Lei 9.715/1998</t>
        </is>
      </c>
    </row>
    <row r="201">
      <c r="A201" s="5" t="inlineStr">
        <is>
          <t>E6-LP</t>
        </is>
      </c>
      <c r="B201" s="6" t="inlineStr">
        <is>
          <t>Cofins cumulativa</t>
        </is>
      </c>
      <c r="C201" s="6" t="inlineStr">
        <is>
          <t>R$ 8.000.000,00 x 3,00%</t>
        </is>
      </c>
      <c r="D201" s="7" t="n">
        <v>240000</v>
      </c>
      <c r="E201" s="6" t="inlineStr">
        <is>
          <t>Lei 9.718/1998</t>
        </is>
      </c>
    </row>
    <row r="202">
      <c r="A202" s="5" t="inlineStr">
        <is>
          <t>E6-LP</t>
        </is>
      </c>
      <c r="B202" s="6" t="inlineStr">
        <is>
          <t>ISS</t>
        </is>
      </c>
      <c r="C202" s="6" t="inlineStr">
        <is>
          <t>R$ 8.000.000,00 x 5,00%</t>
        </is>
      </c>
      <c r="D202" s="7" t="n">
        <v>400000</v>
      </c>
      <c r="E202" s="6" t="inlineStr">
        <is>
          <t>LC 116/2003 e lei municipal</t>
        </is>
      </c>
    </row>
    <row r="203">
      <c r="A203" s="5" t="inlineStr">
        <is>
          <t>E6-LP</t>
        </is>
      </c>
      <c r="B203" s="6" t="inlineStr">
        <is>
          <t>INSS patronal sobre a folha CLT</t>
        </is>
      </c>
      <c r="C203" s="6" t="inlineStr">
        <is>
          <t>R$ 1.500.000,00 x (20,00% CPP + 2,00% RAT + 5,80% terceiros)</t>
        </is>
      </c>
      <c r="D203" s="7" t="n">
        <v>417000</v>
      </c>
      <c r="E203" s="6" t="inlineStr">
        <is>
          <t>Lei 8.212/1991, art. 22, I e II</t>
        </is>
      </c>
    </row>
    <row r="204">
      <c r="A204" s="5" t="inlineStr">
        <is>
          <t>E6-LP</t>
        </is>
      </c>
      <c r="B204" s="6" t="inlineStr">
        <is>
          <t>INSS patronal sobre o pró-labore</t>
        </is>
      </c>
      <c r="C204" s="6" t="inlineStr">
        <is>
          <t>R$ 120.000,00 x 20,00%</t>
        </is>
      </c>
      <c r="D204" s="7" t="n">
        <v>24000</v>
      </c>
      <c r="E204" s="6" t="inlineStr">
        <is>
          <t>Lei 8.212/1991, art. 22, III</t>
        </is>
      </c>
    </row>
    <row r="205">
      <c r="A205" s="5" t="inlineStr">
        <is>
          <t>E6-LR</t>
        </is>
      </c>
      <c r="B205" s="6" t="inlineStr">
        <is>
          <t>PIS - débito</t>
        </is>
      </c>
      <c r="C205" s="6" t="inlineStr">
        <is>
          <t>R$ 8.000.000,00 x 1,65%</t>
        </is>
      </c>
      <c r="D205" s="7" t="n">
        <v>132000</v>
      </c>
      <c r="E205" s="6" t="inlineStr">
        <is>
          <t>Lei 10.637/2002</t>
        </is>
      </c>
    </row>
    <row r="206">
      <c r="A206" s="5" t="inlineStr">
        <is>
          <t>E6-LR</t>
        </is>
      </c>
      <c r="B206" s="6" t="inlineStr">
        <is>
          <t>PIS - crédito</t>
        </is>
      </c>
      <c r="C206" s="6" t="inlineStr">
        <is>
          <t>(R$ 0,00 compras + R$ 0,00 despesas creditáveis) x 1,65%</t>
        </is>
      </c>
      <c r="D206" s="7" t="n">
        <v>0</v>
      </c>
      <c r="E206" s="6" t="inlineStr">
        <is>
          <t>Lei 10.637/2002, art. 3º</t>
        </is>
      </c>
    </row>
    <row r="207">
      <c r="A207" s="5" t="inlineStr">
        <is>
          <t>E6-LR</t>
        </is>
      </c>
      <c r="B207" s="6" t="inlineStr">
        <is>
          <t>Cofins - débito</t>
        </is>
      </c>
      <c r="C207" s="6" t="inlineStr">
        <is>
          <t>R$ 8.000.000,00 x 7,60%</t>
        </is>
      </c>
      <c r="D207" s="7" t="n">
        <v>608000</v>
      </c>
      <c r="E207" s="6" t="inlineStr">
        <is>
          <t>Lei 10.833/2003</t>
        </is>
      </c>
    </row>
    <row r="208">
      <c r="A208" s="5" t="inlineStr">
        <is>
          <t>E6-LR</t>
        </is>
      </c>
      <c r="B208" s="6" t="inlineStr">
        <is>
          <t>Cofins - crédito</t>
        </is>
      </c>
      <c r="C208" s="6" t="inlineStr">
        <is>
          <t>(R$ 0,00 compras + R$ 0,00 despesas creditáveis) x 7,60%</t>
        </is>
      </c>
      <c r="D208" s="7" t="n">
        <v>0</v>
      </c>
      <c r="E208" s="6" t="inlineStr">
        <is>
          <t>Lei 10.833/2003, art. 3º</t>
        </is>
      </c>
    </row>
    <row r="209">
      <c r="A209" s="5" t="inlineStr">
        <is>
          <t>E6-LR</t>
        </is>
      </c>
      <c r="B209" s="6" t="inlineStr">
        <is>
          <t>ISS</t>
        </is>
      </c>
      <c r="C209" s="6" t="inlineStr">
        <is>
          <t>R$ 8.000.000,00 x 5,00%</t>
        </is>
      </c>
      <c r="D209" s="7" t="n">
        <v>400000</v>
      </c>
      <c r="E209" s="6" t="inlineStr">
        <is>
          <t>LC 116/2003 e lei municipal</t>
        </is>
      </c>
    </row>
    <row r="210">
      <c r="A210" s="5" t="inlineStr">
        <is>
          <t>E6-LR</t>
        </is>
      </c>
      <c r="B210" s="6" t="inlineStr">
        <is>
          <t>INSS patronal sobre a folha CLT</t>
        </is>
      </c>
      <c r="C210" s="6" t="inlineStr">
        <is>
          <t>R$ 1.500.000,00 x (20,00% CPP + 2,00% RAT + 5,80% terceiros)</t>
        </is>
      </c>
      <c r="D210" s="7" t="n">
        <v>417000</v>
      </c>
      <c r="E210" s="6" t="inlineStr">
        <is>
          <t>Lei 8.212/1991, art. 22, I e II</t>
        </is>
      </c>
    </row>
    <row r="211">
      <c r="A211" s="5" t="inlineStr">
        <is>
          <t>E6-LR</t>
        </is>
      </c>
      <c r="B211" s="6" t="inlineStr">
        <is>
          <t>INSS patronal sobre o pró-labore</t>
        </is>
      </c>
      <c r="C211" s="6" t="inlineStr">
        <is>
          <t>R$ 120.000,00 x 20,00%</t>
        </is>
      </c>
      <c r="D211" s="7" t="n">
        <v>24000</v>
      </c>
      <c r="E211" s="6" t="inlineStr">
        <is>
          <t>Lei 8.212/1991, art. 22, III</t>
        </is>
      </c>
    </row>
    <row r="212">
      <c r="A212" s="5" t="inlineStr">
        <is>
          <t>E6-LR</t>
        </is>
      </c>
      <c r="B212" s="6" t="inlineStr">
        <is>
          <t>Lucro antes do IRPJ/CSLL</t>
        </is>
      </c>
      <c r="C212" s="6" t="inlineStr">
        <is>
          <t>R$ 8.000.000,00 receita - R$ 0,00 compras - R$ 2.000.000,00 despesas - R$ 1.620.000,00 folha e pró-labore - R$ 120.000,00 FGTS - R$ 1.581.000,00 tributos dedutíveis</t>
        </is>
      </c>
      <c r="D212" s="7" t="n">
        <v>2679000</v>
      </c>
      <c r="E212" s="6" t="inlineStr">
        <is>
          <t>Lei 6.404/1976 (DRE)</t>
        </is>
      </c>
    </row>
    <row r="213">
      <c r="A213" s="5" t="inlineStr">
        <is>
          <t>E6-LR</t>
        </is>
      </c>
      <c r="B213" s="6" t="inlineStr">
        <is>
          <t>IRPJ</t>
        </is>
      </c>
      <c r="C213" s="6" t="inlineStr">
        <is>
          <t>R$ 2.679.000,00 x 15% + 10% sobre o que exceder R$ 240.000,00</t>
        </is>
      </c>
      <c r="D213" s="7" t="n">
        <v>645750</v>
      </c>
      <c r="E213" s="6" t="inlineStr">
        <is>
          <t>Lei 9.249/1995, art. 3º; Lei 9.430/1996, art. 2º</t>
        </is>
      </c>
    </row>
    <row r="214">
      <c r="A214" s="5" t="inlineStr">
        <is>
          <t>E6-LR</t>
        </is>
      </c>
      <c r="B214" s="6" t="inlineStr">
        <is>
          <t>CSLL</t>
        </is>
      </c>
      <c r="C214" s="6" t="inlineStr">
        <is>
          <t>R$ 2.679.000,00 x 9%</t>
        </is>
      </c>
      <c r="D214" s="7" t="n">
        <v>241110</v>
      </c>
      <c r="E214" s="6" t="inlineStr">
        <is>
          <t>Lei 7.689/1988, art. 3º</t>
        </is>
      </c>
    </row>
    <row r="215">
      <c r="A215" s="5" t="inlineStr">
        <is>
          <t>E7-SN</t>
        </is>
      </c>
      <c r="B215" s="6" t="inlineStr">
        <is>
          <t>Fator R (folha 12 meses / RBT12)</t>
        </is>
      </c>
      <c r="C215" s="6" t="inlineStr">
        <is>
          <t>R$ 210.000,00 (salários + pró-labore + FGTS 8%) / R$ 1.200.000,00 = 17,50% -&gt; Anexo V</t>
        </is>
      </c>
      <c r="D215" s="19" t="n">
        <v>0.175</v>
      </c>
      <c r="E215" s="6" t="inlineStr">
        <is>
          <t>LC 123/2006, art. 18, §5º-J, §5º-M e §24</t>
        </is>
      </c>
    </row>
    <row r="216">
      <c r="A216" s="5" t="inlineStr">
        <is>
          <t>E7-SN</t>
        </is>
      </c>
      <c r="B216" s="6" t="inlineStr">
        <is>
          <t>Alíquota efetiva - Anexo V, 4ª faixa</t>
        </is>
      </c>
      <c r="C216" s="6" t="inlineStr">
        <is>
          <t>(R$ 1.200.000,00 x 20,50% - R$ 17.100,00) / R$ 1.200.000,00 = 19,0750%</t>
        </is>
      </c>
      <c r="D216" s="19" t="n">
        <v>0.19075</v>
      </c>
      <c r="E216" s="6" t="inlineStr">
        <is>
          <t>LC 123/2006, art. 18, §1º e §1º-A</t>
        </is>
      </c>
    </row>
    <row r="217">
      <c r="A217" s="5" t="inlineStr">
        <is>
          <t>E7-SN</t>
        </is>
      </c>
      <c r="B217" s="6" t="inlineStr">
        <is>
          <t>DAS anual</t>
        </is>
      </c>
      <c r="C217" s="6" t="inlineStr">
        <is>
          <t>R$ 1.200.000,00 x 19,0750%</t>
        </is>
      </c>
      <c r="D217" s="7" t="n">
        <v>228900</v>
      </c>
      <c r="E217" s="6" t="inlineStr">
        <is>
          <t>LC 123/2006, art. 13</t>
        </is>
      </c>
    </row>
    <row r="218">
      <c r="A218" s="5" t="inlineStr">
        <is>
          <t>E7-LP</t>
        </is>
      </c>
      <c r="B218" s="6" t="inlineStr">
        <is>
          <t>Percentuais de presunção</t>
        </is>
      </c>
      <c r="C218" s="6" t="inlineStr">
        <is>
          <t>Prestação de serviços em geral: IRPJ 32,0%, CSLL 32,0%</t>
        </is>
      </c>
      <c r="D218" s="19" t="n">
        <v>0.32</v>
      </c>
      <c r="E218" s="6" t="inlineStr">
        <is>
          <t>Lei 9.249/1995, art. 15, §1º e art. 20</t>
        </is>
      </c>
    </row>
    <row r="219">
      <c r="A219" s="5" t="inlineStr">
        <is>
          <t>E7-LP</t>
        </is>
      </c>
      <c r="B219" s="6" t="inlineStr">
        <is>
          <t>1º tri - base presumida IRPJ</t>
        </is>
      </c>
      <c r="C219" s="6" t="inlineStr">
        <is>
          <t>R$ 300.000,00 x 32,0%</t>
        </is>
      </c>
      <c r="D219" s="7" t="n">
        <v>96000</v>
      </c>
      <c r="E219" s="6" t="inlineStr">
        <is>
          <t>Lei 9.249/1995, arts. 15 e 20</t>
        </is>
      </c>
    </row>
    <row r="220">
      <c r="A220" s="5" t="inlineStr">
        <is>
          <t>E7-LP</t>
        </is>
      </c>
      <c r="B220" s="6" t="inlineStr">
        <is>
          <t>1º tri - IRPJ</t>
        </is>
      </c>
      <c r="C220" s="6" t="inlineStr">
        <is>
          <t>R$ 96.000,00 x 15% + adicional 10% sobre o que exceder R$ 60.000,00</t>
        </is>
      </c>
      <c r="D220" s="7" t="n">
        <v>18000</v>
      </c>
      <c r="E220" s="6" t="inlineStr">
        <is>
          <t>Lei 9.430/1996, arts. 3º e 4º</t>
        </is>
      </c>
    </row>
    <row r="221">
      <c r="A221" s="5" t="inlineStr">
        <is>
          <t>E7-LP</t>
        </is>
      </c>
      <c r="B221" s="6" t="inlineStr">
        <is>
          <t>1º tri - base presumida CSLL</t>
        </is>
      </c>
      <c r="C221" s="6" t="inlineStr">
        <is>
          <t>R$ 300.000,00 x 32,0%</t>
        </is>
      </c>
      <c r="D221" s="7" t="n">
        <v>96000</v>
      </c>
      <c r="E221" s="6" t="inlineStr">
        <is>
          <t>Lei 9.249/1995, arts. 15 e 20</t>
        </is>
      </c>
    </row>
    <row r="222">
      <c r="A222" s="5" t="inlineStr">
        <is>
          <t>E7-LP</t>
        </is>
      </c>
      <c r="B222" s="6" t="inlineStr">
        <is>
          <t>1º tri - CSLL</t>
        </is>
      </c>
      <c r="C222" s="6" t="inlineStr">
        <is>
          <t>R$ 96.000,00 x 9%</t>
        </is>
      </c>
      <c r="D222" s="7" t="n">
        <v>8640</v>
      </c>
      <c r="E222" s="6" t="inlineStr">
        <is>
          <t>Lei 7.689/1988, art. 3º</t>
        </is>
      </c>
    </row>
    <row r="223">
      <c r="A223" s="5" t="inlineStr">
        <is>
          <t>E7-LP</t>
        </is>
      </c>
      <c r="B223" s="6" t="inlineStr">
        <is>
          <t>2º tri - base presumida IRPJ</t>
        </is>
      </c>
      <c r="C223" s="6" t="inlineStr">
        <is>
          <t>R$ 300.000,00 x 32,0%</t>
        </is>
      </c>
      <c r="D223" s="7" t="n">
        <v>96000</v>
      </c>
      <c r="E223" s="6" t="inlineStr">
        <is>
          <t>Lei 9.249/1995, arts. 15 e 20</t>
        </is>
      </c>
    </row>
    <row r="224">
      <c r="A224" s="5" t="inlineStr">
        <is>
          <t>E7-LP</t>
        </is>
      </c>
      <c r="B224" s="6" t="inlineStr">
        <is>
          <t>2º tri - IRPJ</t>
        </is>
      </c>
      <c r="C224" s="6" t="inlineStr">
        <is>
          <t>R$ 96.000,00 x 15% + adicional 10% sobre o que exceder R$ 60.000,00</t>
        </is>
      </c>
      <c r="D224" s="7" t="n">
        <v>18000</v>
      </c>
      <c r="E224" s="6" t="inlineStr">
        <is>
          <t>Lei 9.430/1996, arts. 3º e 4º</t>
        </is>
      </c>
    </row>
    <row r="225">
      <c r="A225" s="5" t="inlineStr">
        <is>
          <t>E7-LP</t>
        </is>
      </c>
      <c r="B225" s="6" t="inlineStr">
        <is>
          <t>2º tri - base presumida CSLL</t>
        </is>
      </c>
      <c r="C225" s="6" t="inlineStr">
        <is>
          <t>R$ 300.000,00 x 32,0%</t>
        </is>
      </c>
      <c r="D225" s="7" t="n">
        <v>96000</v>
      </c>
      <c r="E225" s="6" t="inlineStr">
        <is>
          <t>Lei 9.249/1995, arts. 15 e 20</t>
        </is>
      </c>
    </row>
    <row r="226">
      <c r="A226" s="5" t="inlineStr">
        <is>
          <t>E7-LP</t>
        </is>
      </c>
      <c r="B226" s="6" t="inlineStr">
        <is>
          <t>2º tri - CSLL</t>
        </is>
      </c>
      <c r="C226" s="6" t="inlineStr">
        <is>
          <t>R$ 96.000,00 x 9%</t>
        </is>
      </c>
      <c r="D226" s="7" t="n">
        <v>8640</v>
      </c>
      <c r="E226" s="6" t="inlineStr">
        <is>
          <t>Lei 7.689/1988, art. 3º</t>
        </is>
      </c>
    </row>
    <row r="227">
      <c r="A227" s="5" t="inlineStr">
        <is>
          <t>E7-LP</t>
        </is>
      </c>
      <c r="B227" s="6" t="inlineStr">
        <is>
          <t>3º tri - base presumida IRPJ</t>
        </is>
      </c>
      <c r="C227" s="6" t="inlineStr">
        <is>
          <t>R$ 300.000,00 x 32,0%</t>
        </is>
      </c>
      <c r="D227" s="7" t="n">
        <v>96000</v>
      </c>
      <c r="E227" s="6" t="inlineStr">
        <is>
          <t>Lei 9.249/1995, arts. 15 e 20</t>
        </is>
      </c>
    </row>
    <row r="228">
      <c r="A228" s="5" t="inlineStr">
        <is>
          <t>E7-LP</t>
        </is>
      </c>
      <c r="B228" s="6" t="inlineStr">
        <is>
          <t>3º tri - IRPJ</t>
        </is>
      </c>
      <c r="C228" s="6" t="inlineStr">
        <is>
          <t>R$ 96.000,00 x 15% + adicional 10% sobre o que exceder R$ 60.000,00</t>
        </is>
      </c>
      <c r="D228" s="7" t="n">
        <v>18000</v>
      </c>
      <c r="E228" s="6" t="inlineStr">
        <is>
          <t>Lei 9.430/1996, arts. 3º e 4º</t>
        </is>
      </c>
    </row>
    <row r="229">
      <c r="A229" s="5" t="inlineStr">
        <is>
          <t>E7-LP</t>
        </is>
      </c>
      <c r="B229" s="6" t="inlineStr">
        <is>
          <t>3º tri - base presumida CSLL</t>
        </is>
      </c>
      <c r="C229" s="6" t="inlineStr">
        <is>
          <t>R$ 300.000,00 x 32,0%</t>
        </is>
      </c>
      <c r="D229" s="7" t="n">
        <v>96000</v>
      </c>
      <c r="E229" s="6" t="inlineStr">
        <is>
          <t>Lei 9.249/1995, arts. 15 e 20</t>
        </is>
      </c>
    </row>
    <row r="230">
      <c r="A230" s="5" t="inlineStr">
        <is>
          <t>E7-LP</t>
        </is>
      </c>
      <c r="B230" s="6" t="inlineStr">
        <is>
          <t>3º tri - CSLL</t>
        </is>
      </c>
      <c r="C230" s="6" t="inlineStr">
        <is>
          <t>R$ 96.000,00 x 9%</t>
        </is>
      </c>
      <c r="D230" s="7" t="n">
        <v>8640</v>
      </c>
      <c r="E230" s="6" t="inlineStr">
        <is>
          <t>Lei 7.689/1988, art. 3º</t>
        </is>
      </c>
    </row>
    <row r="231">
      <c r="A231" s="5" t="inlineStr">
        <is>
          <t>E7-LP</t>
        </is>
      </c>
      <c r="B231" s="6" t="inlineStr">
        <is>
          <t>4º tri - base presumida IRPJ</t>
        </is>
      </c>
      <c r="C231" s="6" t="inlineStr">
        <is>
          <t>R$ 300.000,00 x 32,0%</t>
        </is>
      </c>
      <c r="D231" s="7" t="n">
        <v>96000</v>
      </c>
      <c r="E231" s="6" t="inlineStr">
        <is>
          <t>Lei 9.249/1995, arts. 15 e 20</t>
        </is>
      </c>
    </row>
    <row r="232">
      <c r="A232" s="5" t="inlineStr">
        <is>
          <t>E7-LP</t>
        </is>
      </c>
      <c r="B232" s="6" t="inlineStr">
        <is>
          <t>4º tri - IRPJ</t>
        </is>
      </c>
      <c r="C232" s="6" t="inlineStr">
        <is>
          <t>R$ 96.000,00 x 15% + adicional 10% sobre o que exceder R$ 60.000,00</t>
        </is>
      </c>
      <c r="D232" s="7" t="n">
        <v>18000</v>
      </c>
      <c r="E232" s="6" t="inlineStr">
        <is>
          <t>Lei 9.430/1996, arts. 3º e 4º</t>
        </is>
      </c>
    </row>
    <row r="233">
      <c r="A233" s="5" t="inlineStr">
        <is>
          <t>E7-LP</t>
        </is>
      </c>
      <c r="B233" s="6" t="inlineStr">
        <is>
          <t>4º tri - base presumida CSLL</t>
        </is>
      </c>
      <c r="C233" s="6" t="inlineStr">
        <is>
          <t>R$ 300.000,00 x 32,0%</t>
        </is>
      </c>
      <c r="D233" s="7" t="n">
        <v>96000</v>
      </c>
      <c r="E233" s="6" t="inlineStr">
        <is>
          <t>Lei 9.249/1995, arts. 15 e 20</t>
        </is>
      </c>
    </row>
    <row r="234">
      <c r="A234" s="5" t="inlineStr">
        <is>
          <t>E7-LP</t>
        </is>
      </c>
      <c r="B234" s="6" t="inlineStr">
        <is>
          <t>4º tri - CSLL</t>
        </is>
      </c>
      <c r="C234" s="6" t="inlineStr">
        <is>
          <t>R$ 96.000,00 x 9%</t>
        </is>
      </c>
      <c r="D234" s="7" t="n">
        <v>8640</v>
      </c>
      <c r="E234" s="6" t="inlineStr">
        <is>
          <t>Lei 7.689/1988, art. 3º</t>
        </is>
      </c>
    </row>
    <row r="235">
      <c r="A235" s="5" t="inlineStr">
        <is>
          <t>E7-LP</t>
        </is>
      </c>
      <c r="B235" s="6" t="inlineStr">
        <is>
          <t>PIS cumulativo</t>
        </is>
      </c>
      <c r="C235" s="6" t="inlineStr">
        <is>
          <t>R$ 1.200.000,00 x 0,65%</t>
        </is>
      </c>
      <c r="D235" s="7" t="n">
        <v>7800</v>
      </c>
      <c r="E235" s="6" t="inlineStr">
        <is>
          <t>Lei 9.715/1998</t>
        </is>
      </c>
    </row>
    <row r="236">
      <c r="A236" s="5" t="inlineStr">
        <is>
          <t>E7-LP</t>
        </is>
      </c>
      <c r="B236" s="6" t="inlineStr">
        <is>
          <t>Cofins cumulativa</t>
        </is>
      </c>
      <c r="C236" s="6" t="inlineStr">
        <is>
          <t>R$ 1.200.000,00 x 3,00%</t>
        </is>
      </c>
      <c r="D236" s="7" t="n">
        <v>36000</v>
      </c>
      <c r="E236" s="6" t="inlineStr">
        <is>
          <t>Lei 9.718/1998</t>
        </is>
      </c>
    </row>
    <row r="237">
      <c r="A237" s="5" t="inlineStr">
        <is>
          <t>E7-LP</t>
        </is>
      </c>
      <c r="B237" s="6" t="inlineStr">
        <is>
          <t>ISS</t>
        </is>
      </c>
      <c r="C237" s="6" t="inlineStr">
        <is>
          <t>R$ 1.200.000,00 x 5,00%</t>
        </is>
      </c>
      <c r="D237" s="7" t="n">
        <v>60000</v>
      </c>
      <c r="E237" s="6" t="inlineStr">
        <is>
          <t>LC 116/2003 e lei municipal</t>
        </is>
      </c>
    </row>
    <row r="238">
      <c r="A238" s="5" t="inlineStr">
        <is>
          <t>E7-LP</t>
        </is>
      </c>
      <c r="B238" s="6" t="inlineStr">
        <is>
          <t>INSS patronal sobre a folha CLT</t>
        </is>
      </c>
      <c r="C238" s="6" t="inlineStr">
        <is>
          <t>R$ 150.000,00 x (20,00% CPP + 2,00% RAT + 5,80% terceiros)</t>
        </is>
      </c>
      <c r="D238" s="7" t="n">
        <v>41700</v>
      </c>
      <c r="E238" s="6" t="inlineStr">
        <is>
          <t>Lei 8.212/1991, art. 22, I e II</t>
        </is>
      </c>
    </row>
    <row r="239">
      <c r="A239" s="5" t="inlineStr">
        <is>
          <t>E7-LP</t>
        </is>
      </c>
      <c r="B239" s="6" t="inlineStr">
        <is>
          <t>INSS patronal sobre o pró-labore</t>
        </is>
      </c>
      <c r="C239" s="6" t="inlineStr">
        <is>
          <t>R$ 48.000,00 x 20,00%</t>
        </is>
      </c>
      <c r="D239" s="7" t="n">
        <v>9600</v>
      </c>
      <c r="E239" s="6" t="inlineStr">
        <is>
          <t>Lei 8.212/1991, art. 22, III</t>
        </is>
      </c>
    </row>
    <row r="240">
      <c r="A240" s="5" t="inlineStr">
        <is>
          <t>E7-LR</t>
        </is>
      </c>
      <c r="B240" s="6" t="inlineStr">
        <is>
          <t>PIS - débito</t>
        </is>
      </c>
      <c r="C240" s="6" t="inlineStr">
        <is>
          <t>R$ 1.200.000,00 x 1,65%</t>
        </is>
      </c>
      <c r="D240" s="7" t="n">
        <v>19800</v>
      </c>
      <c r="E240" s="6" t="inlineStr">
        <is>
          <t>Lei 10.637/2002</t>
        </is>
      </c>
    </row>
    <row r="241">
      <c r="A241" s="5" t="inlineStr">
        <is>
          <t>E7-LR</t>
        </is>
      </c>
      <c r="B241" s="6" t="inlineStr">
        <is>
          <t>PIS - crédito</t>
        </is>
      </c>
      <c r="C241" s="6" t="inlineStr">
        <is>
          <t>(R$ 0,00 compras + R$ 60.000,00 despesas creditáveis) x 1,65%</t>
        </is>
      </c>
      <c r="D241" s="7" t="n">
        <v>990</v>
      </c>
      <c r="E241" s="6" t="inlineStr">
        <is>
          <t>Lei 10.637/2002, art. 3º</t>
        </is>
      </c>
    </row>
    <row r="242">
      <c r="A242" s="5" t="inlineStr">
        <is>
          <t>E7-LR</t>
        </is>
      </c>
      <c r="B242" s="6" t="inlineStr">
        <is>
          <t>Cofins - débito</t>
        </is>
      </c>
      <c r="C242" s="6" t="inlineStr">
        <is>
          <t>R$ 1.200.000,00 x 7,60%</t>
        </is>
      </c>
      <c r="D242" s="7" t="n">
        <v>91200</v>
      </c>
      <c r="E242" s="6" t="inlineStr">
        <is>
          <t>Lei 10.833/2003</t>
        </is>
      </c>
    </row>
    <row r="243">
      <c r="A243" s="5" t="inlineStr">
        <is>
          <t>E7-LR</t>
        </is>
      </c>
      <c r="B243" s="6" t="inlineStr">
        <is>
          <t>Cofins - crédito</t>
        </is>
      </c>
      <c r="C243" s="6" t="inlineStr">
        <is>
          <t>(R$ 0,00 compras + R$ 60.000,00 despesas creditáveis) x 7,60%</t>
        </is>
      </c>
      <c r="D243" s="7" t="n">
        <v>4560</v>
      </c>
      <c r="E243" s="6" t="inlineStr">
        <is>
          <t>Lei 10.833/2003, art. 3º</t>
        </is>
      </c>
    </row>
    <row r="244">
      <c r="A244" s="5" t="inlineStr">
        <is>
          <t>E7-LR</t>
        </is>
      </c>
      <c r="B244" s="6" t="inlineStr">
        <is>
          <t>ISS</t>
        </is>
      </c>
      <c r="C244" s="6" t="inlineStr">
        <is>
          <t>R$ 1.200.000,00 x 5,00%</t>
        </is>
      </c>
      <c r="D244" s="7" t="n">
        <v>60000</v>
      </c>
      <c r="E244" s="6" t="inlineStr">
        <is>
          <t>LC 116/2003 e lei municipal</t>
        </is>
      </c>
    </row>
    <row r="245">
      <c r="A245" s="5" t="inlineStr">
        <is>
          <t>E7-LR</t>
        </is>
      </c>
      <c r="B245" s="6" t="inlineStr">
        <is>
          <t>INSS patronal sobre a folha CLT</t>
        </is>
      </c>
      <c r="C245" s="6" t="inlineStr">
        <is>
          <t>R$ 150.000,00 x (20,00% CPP + 2,00% RAT + 5,80% terceiros)</t>
        </is>
      </c>
      <c r="D245" s="7" t="n">
        <v>41700</v>
      </c>
      <c r="E245" s="6" t="inlineStr">
        <is>
          <t>Lei 8.212/1991, art. 22, I e II</t>
        </is>
      </c>
    </row>
    <row r="246">
      <c r="A246" s="5" t="inlineStr">
        <is>
          <t>E7-LR</t>
        </is>
      </c>
      <c r="B246" s="6" t="inlineStr">
        <is>
          <t>INSS patronal sobre o pró-labore</t>
        </is>
      </c>
      <c r="C246" s="6" t="inlineStr">
        <is>
          <t>R$ 48.000,00 x 20,00%</t>
        </is>
      </c>
      <c r="D246" s="7" t="n">
        <v>9600</v>
      </c>
      <c r="E246" s="6" t="inlineStr">
        <is>
          <t>Lei 8.212/1991, art. 22, III</t>
        </is>
      </c>
    </row>
    <row r="247">
      <c r="A247" s="5" t="inlineStr">
        <is>
          <t>E7-LR</t>
        </is>
      </c>
      <c r="B247" s="6" t="inlineStr">
        <is>
          <t>Lucro antes do IRPJ/CSLL</t>
        </is>
      </c>
      <c r="C247" s="6" t="inlineStr">
        <is>
          <t>R$ 1.200.000,00 receita - R$ 0,00 compras - R$ 360.000,00 despesas - R$ 198.000,00 folha e pró-labore - R$ 12.000,00 FGTS - R$ 216.750,00 tributos dedutíveis</t>
        </is>
      </c>
      <c r="D247" s="7" t="n">
        <v>413250</v>
      </c>
      <c r="E247" s="6" t="inlineStr">
        <is>
          <t>Lei 6.404/1976 (DRE)</t>
        </is>
      </c>
    </row>
    <row r="248">
      <c r="A248" s="5" t="inlineStr">
        <is>
          <t>E7-LR</t>
        </is>
      </c>
      <c r="B248" s="6" t="inlineStr">
        <is>
          <t>IRPJ</t>
        </is>
      </c>
      <c r="C248" s="6" t="inlineStr">
        <is>
          <t>R$ 413.250,00 x 15% + 10% sobre o que exceder R$ 240.000,00</t>
        </is>
      </c>
      <c r="D248" s="7" t="n">
        <v>79312.5</v>
      </c>
      <c r="E248" s="6" t="inlineStr">
        <is>
          <t>Lei 9.249/1995, art. 3º; Lei 9.430/1996, art. 2º</t>
        </is>
      </c>
    </row>
    <row r="249">
      <c r="A249" s="5" t="inlineStr">
        <is>
          <t>E7-LR</t>
        </is>
      </c>
      <c r="B249" s="6" t="inlineStr">
        <is>
          <t>CSLL</t>
        </is>
      </c>
      <c r="C249" s="6" t="inlineStr">
        <is>
          <t>R$ 413.250,00 x 9%</t>
        </is>
      </c>
      <c r="D249" s="7" t="n">
        <v>37192.5</v>
      </c>
      <c r="E249" s="6" t="inlineStr">
        <is>
          <t>Lei 7.689/1988, art. 3º</t>
        </is>
      </c>
    </row>
    <row r="250">
      <c r="A250" s="5" t="inlineStr">
        <is>
          <t>PF1</t>
        </is>
      </c>
      <c r="B250" s="6" t="inlineStr">
        <is>
          <t>Dedução aplicada</t>
        </is>
      </c>
      <c r="C250" s="6" t="inlineStr">
        <is>
          <t>maior entre deduções legais R$ 308,60 e desconto simplificado R$ 607,20</t>
        </is>
      </c>
      <c r="D250" s="7" t="n">
        <v>607.2</v>
      </c>
      <c r="E250" s="6" t="inlineStr">
        <is>
          <t>Lei 9.250/1995, art. 4º; Lei 15.191/2025</t>
        </is>
      </c>
    </row>
    <row r="251">
      <c r="A251" s="5" t="inlineStr">
        <is>
          <t>PF1</t>
        </is>
      </c>
      <c r="B251" s="6" t="inlineStr">
        <is>
          <t>Base de cálculo</t>
        </is>
      </c>
      <c r="C251" s="6" t="inlineStr">
        <is>
          <t>R$ 3.500,00 - R$ 607,20</t>
        </is>
      </c>
      <c r="D251" s="7" t="n">
        <v>2892.8</v>
      </c>
      <c r="E251" s="6" t="inlineStr"/>
    </row>
    <row r="252">
      <c r="A252" s="5" t="inlineStr">
        <is>
          <t>PF1</t>
        </is>
      </c>
      <c r="B252" s="6" t="inlineStr">
        <is>
          <t>Imposto pela tabela progressiva</t>
        </is>
      </c>
      <c r="C252" s="6" t="inlineStr">
        <is>
          <t>R$ 2.892,80 x 15,0% - R$ 394,16</t>
        </is>
      </c>
      <c r="D252" s="7" t="n">
        <v>39.76</v>
      </c>
      <c r="E252" s="6" t="inlineStr">
        <is>
          <t>Lei 15.191/2025 (tabela) + Lei 15.270/2025 (redução)</t>
        </is>
      </c>
    </row>
    <row r="253">
      <c r="A253" s="5" t="inlineStr">
        <is>
          <t>PF1</t>
        </is>
      </c>
      <c r="B253" s="6" t="inlineStr">
        <is>
          <t>Redução Lei 15.270/2025</t>
        </is>
      </c>
      <c r="C253" s="6" t="inlineStr">
        <is>
          <t>rendimentos até R$ 5.000,00: redução até R$ 312,89</t>
        </is>
      </c>
      <c r="D253" s="7" t="n">
        <v>39.76</v>
      </c>
      <c r="E253" s="6" t="inlineStr">
        <is>
          <t>Lei 15.270/2025</t>
        </is>
      </c>
    </row>
    <row r="254">
      <c r="A254" s="5" t="inlineStr">
        <is>
          <t>PF2</t>
        </is>
      </c>
      <c r="B254" s="6" t="inlineStr">
        <is>
          <t>Dedução aplicada</t>
        </is>
      </c>
      <c r="C254" s="6" t="inlineStr">
        <is>
          <t>maior entre deduções legais R$ 501,51 e desconto simplificado R$ 607,20</t>
        </is>
      </c>
      <c r="D254" s="7" t="n">
        <v>607.2</v>
      </c>
      <c r="E254" s="6" t="inlineStr">
        <is>
          <t>Lei 9.250/1995, art. 4º; Lei 15.191/2025</t>
        </is>
      </c>
    </row>
    <row r="255">
      <c r="A255" s="5" t="inlineStr">
        <is>
          <t>PF2</t>
        </is>
      </c>
      <c r="B255" s="6" t="inlineStr">
        <is>
          <t>Base de cálculo</t>
        </is>
      </c>
      <c r="C255" s="6" t="inlineStr">
        <is>
          <t>R$ 5.000,00 - R$ 607,20</t>
        </is>
      </c>
      <c r="D255" s="7" t="n">
        <v>4392.8</v>
      </c>
      <c r="E255" s="6" t="inlineStr"/>
    </row>
    <row r="256">
      <c r="A256" s="5" t="inlineStr">
        <is>
          <t>PF2</t>
        </is>
      </c>
      <c r="B256" s="6" t="inlineStr">
        <is>
          <t>Imposto pela tabela progressiva</t>
        </is>
      </c>
      <c r="C256" s="6" t="inlineStr">
        <is>
          <t>R$ 4.392,80 x 22,5% - R$ 675,49</t>
        </is>
      </c>
      <c r="D256" s="7" t="n">
        <v>312.89</v>
      </c>
      <c r="E256" s="6" t="inlineStr">
        <is>
          <t>Lei 15.191/2025 (tabela) + Lei 15.270/2025 (redução)</t>
        </is>
      </c>
    </row>
    <row r="257">
      <c r="A257" s="5" t="inlineStr">
        <is>
          <t>PF2</t>
        </is>
      </c>
      <c r="B257" s="6" t="inlineStr">
        <is>
          <t>Redução Lei 15.270/2025</t>
        </is>
      </c>
      <c r="C257" s="6" t="inlineStr">
        <is>
          <t>rendimentos até R$ 5.000,00: redução até R$ 312,89</t>
        </is>
      </c>
      <c r="D257" s="7" t="n">
        <v>312.89</v>
      </c>
      <c r="E257" s="6" t="inlineStr">
        <is>
          <t>Lei 15.270/2025</t>
        </is>
      </c>
    </row>
    <row r="258">
      <c r="A258" s="5" t="inlineStr">
        <is>
          <t>PF3</t>
        </is>
      </c>
      <c r="B258" s="6" t="inlineStr">
        <is>
          <t>Dedução aplicada</t>
        </is>
      </c>
      <c r="C258" s="6" t="inlineStr">
        <is>
          <t>maior entre deduções legais R$ 627,51 e desconto simplificado R$ 607,20</t>
        </is>
      </c>
      <c r="D258" s="7" t="n">
        <v>627.51</v>
      </c>
      <c r="E258" s="6" t="inlineStr">
        <is>
          <t>Lei 9.250/1995, art. 4º; Lei 15.191/2025</t>
        </is>
      </c>
    </row>
    <row r="259">
      <c r="A259" s="5" t="inlineStr">
        <is>
          <t>PF3</t>
        </is>
      </c>
      <c r="B259" s="6" t="inlineStr">
        <is>
          <t>Base de cálculo</t>
        </is>
      </c>
      <c r="C259" s="6" t="inlineStr">
        <is>
          <t>R$ 5.900,00 - R$ 627,51</t>
        </is>
      </c>
      <c r="D259" s="7" t="n">
        <v>5272.49</v>
      </c>
      <c r="E259" s="6" t="inlineStr"/>
    </row>
    <row r="260">
      <c r="A260" s="5" t="inlineStr">
        <is>
          <t>PF3</t>
        </is>
      </c>
      <c r="B260" s="6" t="inlineStr">
        <is>
          <t>Imposto pela tabela progressiva</t>
        </is>
      </c>
      <c r="C260" s="6" t="inlineStr">
        <is>
          <t>R$ 5.272,49 x 27,5% - R$ 908,73</t>
        </is>
      </c>
      <c r="D260" s="7" t="n">
        <v>541.20475</v>
      </c>
      <c r="E260" s="6" t="inlineStr">
        <is>
          <t>Lei 15.191/2025 (tabela) + Lei 15.270/2025 (redução)</t>
        </is>
      </c>
    </row>
    <row r="261">
      <c r="A261" s="5" t="inlineStr">
        <is>
          <t>PF3</t>
        </is>
      </c>
      <c r="B261" s="6" t="inlineStr">
        <is>
          <t>Redução Lei 15.270/2025</t>
        </is>
      </c>
      <c r="C261" s="6" t="inlineStr">
        <is>
          <t>R$ 978,62 - 0.133145 x R$ 5.900,00</t>
        </is>
      </c>
      <c r="D261" s="7" t="n">
        <v>193.0645</v>
      </c>
      <c r="E261" s="6" t="inlineStr">
        <is>
          <t>Lei 15.270/2025</t>
        </is>
      </c>
    </row>
    <row r="262">
      <c r="A262" s="5" t="inlineStr">
        <is>
          <t>PF4</t>
        </is>
      </c>
      <c r="B262" s="6" t="inlineStr">
        <is>
          <t>Dedução aplicada</t>
        </is>
      </c>
      <c r="C262" s="6" t="inlineStr">
        <is>
          <t>maior entre deduções legais R$ 971,10 e desconto simplificado R$ 607,20</t>
        </is>
      </c>
      <c r="D262" s="7" t="n">
        <v>971.1</v>
      </c>
      <c r="E262" s="6" t="inlineStr">
        <is>
          <t>Lei 9.250/1995, art. 4º; Lei 15.191/2025</t>
        </is>
      </c>
    </row>
    <row r="263">
      <c r="A263" s="5" t="inlineStr">
        <is>
          <t>PF4</t>
        </is>
      </c>
      <c r="B263" s="6" t="inlineStr">
        <is>
          <t>Base de cálculo</t>
        </is>
      </c>
      <c r="C263" s="6" t="inlineStr">
        <is>
          <t>R$ 7.000,00 - R$ 971,10</t>
        </is>
      </c>
      <c r="D263" s="7" t="n">
        <v>6028.9</v>
      </c>
      <c r="E263" s="6" t="inlineStr"/>
    </row>
    <row r="264">
      <c r="A264" s="5" t="inlineStr">
        <is>
          <t>PF4</t>
        </is>
      </c>
      <c r="B264" s="6" t="inlineStr">
        <is>
          <t>Imposto pela tabela progressiva</t>
        </is>
      </c>
      <c r="C264" s="6" t="inlineStr">
        <is>
          <t>R$ 6.028,90 x 27,5% - R$ 908,73</t>
        </is>
      </c>
      <c r="D264" s="7" t="n">
        <v>749.2175</v>
      </c>
      <c r="E264" s="6" t="inlineStr">
        <is>
          <t>Lei 15.191/2025 (tabela) + Lei 15.270/2025 (redução)</t>
        </is>
      </c>
    </row>
    <row r="265">
      <c r="A265" s="5" t="inlineStr">
        <is>
          <t>PF4</t>
        </is>
      </c>
      <c r="B265" s="6" t="inlineStr">
        <is>
          <t>Redução Lei 15.270/2025</t>
        </is>
      </c>
      <c r="C265" s="6" t="inlineStr">
        <is>
          <t>R$ 978,62 - 0.133145 x R$ 7.000,00</t>
        </is>
      </c>
      <c r="D265" s="7" t="n">
        <v>46.605</v>
      </c>
      <c r="E265" s="6" t="inlineStr">
        <is>
          <t>Lei 15.270/2025</t>
        </is>
      </c>
    </row>
    <row r="266">
      <c r="A266" s="5" t="inlineStr">
        <is>
          <t>PF5</t>
        </is>
      </c>
      <c r="B266" s="6" t="inlineStr">
        <is>
          <t>Dedução aplicada</t>
        </is>
      </c>
      <c r="C266" s="6" t="inlineStr">
        <is>
          <t>maior entre deduções legais R$ 1.367,27 e desconto simplificado R$ 607,20</t>
        </is>
      </c>
      <c r="D266" s="7" t="n">
        <v>1367.27</v>
      </c>
      <c r="E266" s="6" t="inlineStr">
        <is>
          <t>Lei 9.250/1995, art. 4º; Lei 15.191/2025</t>
        </is>
      </c>
    </row>
    <row r="267">
      <c r="A267" s="5" t="inlineStr">
        <is>
          <t>PF5</t>
        </is>
      </c>
      <c r="B267" s="6" t="inlineStr">
        <is>
          <t>Base de cálculo</t>
        </is>
      </c>
      <c r="C267" s="6" t="inlineStr">
        <is>
          <t>R$ 12.000,00 - R$ 1.367,27</t>
        </is>
      </c>
      <c r="D267" s="7" t="n">
        <v>10632.73</v>
      </c>
      <c r="E267" s="6" t="inlineStr"/>
    </row>
    <row r="268">
      <c r="A268" s="5" t="inlineStr">
        <is>
          <t>PF5</t>
        </is>
      </c>
      <c r="B268" s="6" t="inlineStr">
        <is>
          <t>Imposto pela tabela progressiva</t>
        </is>
      </c>
      <c r="C268" s="6" t="inlineStr">
        <is>
          <t>R$ 10.632,73 x 27,5% - R$ 908,73</t>
        </is>
      </c>
      <c r="D268" s="7" t="n">
        <v>2015.27075</v>
      </c>
      <c r="E268" s="6" t="inlineStr">
        <is>
          <t>Lei 15.191/2025 (tabela) + Lei 15.270/2025 (redução)</t>
        </is>
      </c>
    </row>
    <row r="269">
      <c r="A269" s="5" t="inlineStr">
        <is>
          <t>PF5</t>
        </is>
      </c>
      <c r="B269" s="6" t="inlineStr">
        <is>
          <t>Redução Lei 15.270/2025</t>
        </is>
      </c>
      <c r="C269" s="6" t="inlineStr">
        <is>
          <t>rendimentos acima de R$ 7.350,00: sem redução</t>
        </is>
      </c>
      <c r="D269" s="7" t="n">
        <v>0</v>
      </c>
      <c r="E269" s="6" t="inlineStr">
        <is>
          <t>Lei 15.270/2025</t>
        </is>
      </c>
    </row>
    <row r="270">
      <c r="A270" s="5" t="inlineStr">
        <is>
          <t>SOC1-A</t>
        </is>
      </c>
      <c r="B270" s="6" t="inlineStr">
        <is>
          <t>INSS do sócio</t>
        </is>
      </c>
      <c r="C270" s="6" t="inlineStr">
        <is>
          <t>R$ 15.000,00 x 11% (limitado ao teto)</t>
        </is>
      </c>
      <c r="D270" s="7" t="n">
        <v>932.3099999999999</v>
      </c>
      <c r="E270" s="6" t="inlineStr">
        <is>
          <t>Lei 8.212/1991, art. 21 e 30, §4º</t>
        </is>
      </c>
    </row>
    <row r="271">
      <c r="A271" s="5" t="inlineStr">
        <is>
          <t>SOC1-A</t>
        </is>
      </c>
      <c r="B271" s="6" t="inlineStr">
        <is>
          <t>Dedução aplicada</t>
        </is>
      </c>
      <c r="C271" s="6" t="inlineStr">
        <is>
          <t>maior entre deduções legais R$ 932,31 e desconto simplificado R$ 607,20</t>
        </is>
      </c>
      <c r="D271" s="7" t="n">
        <v>932.3099999999999</v>
      </c>
      <c r="E271" s="6" t="inlineStr">
        <is>
          <t>Lei 9.250/1995, art. 4º; Lei 15.191/2025</t>
        </is>
      </c>
    </row>
    <row r="272">
      <c r="A272" s="5" t="inlineStr">
        <is>
          <t>SOC1-A</t>
        </is>
      </c>
      <c r="B272" s="6" t="inlineStr">
        <is>
          <t>Base de cálculo</t>
        </is>
      </c>
      <c r="C272" s="6" t="inlineStr">
        <is>
          <t>R$ 15.000,00 - R$ 932,31</t>
        </is>
      </c>
      <c r="D272" s="7" t="n">
        <v>14067.69</v>
      </c>
      <c r="E272" s="6" t="inlineStr"/>
    </row>
    <row r="273">
      <c r="A273" s="5" t="inlineStr">
        <is>
          <t>SOC1-A</t>
        </is>
      </c>
      <c r="B273" s="6" t="inlineStr">
        <is>
          <t>Imposto pela tabela progressiva</t>
        </is>
      </c>
      <c r="C273" s="6" t="inlineStr">
        <is>
          <t>R$ 14.067,69 x 27,5% - R$ 908,73</t>
        </is>
      </c>
      <c r="D273" s="7" t="n">
        <v>2959.88475</v>
      </c>
      <c r="E273" s="6" t="inlineStr">
        <is>
          <t>Lei 15.191/2025 (tabela) + Lei 15.270/2025 (redução)</t>
        </is>
      </c>
    </row>
    <row r="274">
      <c r="A274" s="5" t="inlineStr">
        <is>
          <t>SOC1-A</t>
        </is>
      </c>
      <c r="B274" s="6" t="inlineStr">
        <is>
          <t>Redução Lei 15.270/2025</t>
        </is>
      </c>
      <c r="C274" s="6" t="inlineStr">
        <is>
          <t>rendimentos acima de R$ 7.350,00: sem redução</t>
        </is>
      </c>
      <c r="D274" s="7" t="n">
        <v>0</v>
      </c>
      <c r="E274" s="6" t="inlineStr">
        <is>
          <t>Lei 15.270/2025</t>
        </is>
      </c>
    </row>
    <row r="275">
      <c r="A275" s="5" t="inlineStr">
        <is>
          <t>SOC1-A</t>
        </is>
      </c>
      <c r="B275" s="6" t="inlineStr">
        <is>
          <t>CPP patronal sobre pró-labore</t>
        </is>
      </c>
      <c r="C275" s="6" t="inlineStr">
        <is>
          <t>R$ 15.000,00 x 20%</t>
        </is>
      </c>
      <c r="D275" s="7" t="n">
        <v>3000</v>
      </c>
      <c r="E275" s="6" t="inlineStr">
        <is>
          <t>Lei 8.212/1991, art. 22, III</t>
        </is>
      </c>
    </row>
    <row r="276">
      <c r="A276" s="5" t="inlineStr">
        <is>
          <t>SOC1-B</t>
        </is>
      </c>
      <c r="B276" s="6" t="inlineStr">
        <is>
          <t>INSS do sócio</t>
        </is>
      </c>
      <c r="C276" s="6" t="inlineStr">
        <is>
          <t>R$ 1.621,00 x 11% (limitado ao teto)</t>
        </is>
      </c>
      <c r="D276" s="7" t="n">
        <v>178.31</v>
      </c>
      <c r="E276" s="6" t="inlineStr">
        <is>
          <t>Lei 8.212/1991, art. 21 e 30, §4º</t>
        </is>
      </c>
    </row>
    <row r="277">
      <c r="A277" s="5" t="inlineStr">
        <is>
          <t>SOC1-B</t>
        </is>
      </c>
      <c r="B277" s="6" t="inlineStr">
        <is>
          <t>Dedução aplicada</t>
        </is>
      </c>
      <c r="C277" s="6" t="inlineStr">
        <is>
          <t>maior entre deduções legais R$ 178,31 e desconto simplificado R$ 607,20</t>
        </is>
      </c>
      <c r="D277" s="7" t="n">
        <v>607.2</v>
      </c>
      <c r="E277" s="6" t="inlineStr">
        <is>
          <t>Lei 9.250/1995, art. 4º; Lei 15.191/2025</t>
        </is>
      </c>
    </row>
    <row r="278">
      <c r="A278" s="5" t="inlineStr">
        <is>
          <t>SOC1-B</t>
        </is>
      </c>
      <c r="B278" s="6" t="inlineStr">
        <is>
          <t>Base de cálculo</t>
        </is>
      </c>
      <c r="C278" s="6" t="inlineStr">
        <is>
          <t>R$ 1.621,00 - R$ 607,20</t>
        </is>
      </c>
      <c r="D278" s="7" t="n">
        <v>1013.8</v>
      </c>
      <c r="E278" s="6" t="inlineStr"/>
    </row>
    <row r="279">
      <c r="A279" s="5" t="inlineStr">
        <is>
          <t>SOC1-B</t>
        </is>
      </c>
      <c r="B279" s="6" t="inlineStr">
        <is>
          <t>Imposto pela tabela progressiva</t>
        </is>
      </c>
      <c r="C279" s="6" t="inlineStr">
        <is>
          <t>R$ 1.013,80 x 0,0% - R$ 0,00</t>
        </is>
      </c>
      <c r="D279" s="7" t="n">
        <v>0</v>
      </c>
      <c r="E279" s="6" t="inlineStr">
        <is>
          <t>Lei 15.191/2025 (tabela) + Lei 15.270/2025 (redução)</t>
        </is>
      </c>
    </row>
    <row r="280">
      <c r="A280" s="5" t="inlineStr">
        <is>
          <t>SOC1-B</t>
        </is>
      </c>
      <c r="B280" s="6" t="inlineStr">
        <is>
          <t>CPP patronal sobre pró-labore</t>
        </is>
      </c>
      <c r="C280" s="6" t="inlineStr">
        <is>
          <t>R$ 1.621,00 x 20%</t>
        </is>
      </c>
      <c r="D280" s="7" t="n">
        <v>324.2</v>
      </c>
      <c r="E280" s="6" t="inlineStr">
        <is>
          <t>Lei 8.212/1991, art. 22, III</t>
        </is>
      </c>
    </row>
    <row r="281">
      <c r="A281" s="5" t="inlineStr">
        <is>
          <t>SOC2-A</t>
        </is>
      </c>
      <c r="B281" s="6" t="inlineStr">
        <is>
          <t>INSS do sócio</t>
        </is>
      </c>
      <c r="C281" s="6" t="inlineStr">
        <is>
          <t>R$ 30.000,00 x 11% (limitado ao teto)</t>
        </is>
      </c>
      <c r="D281" s="7" t="n">
        <v>932.3099999999999</v>
      </c>
      <c r="E281" s="6" t="inlineStr">
        <is>
          <t>Lei 8.212/1991, art. 21 e 30, §4º</t>
        </is>
      </c>
    </row>
    <row r="282">
      <c r="A282" s="5" t="inlineStr">
        <is>
          <t>SOC2-A</t>
        </is>
      </c>
      <c r="B282" s="6" t="inlineStr">
        <is>
          <t>Dedução aplicada</t>
        </is>
      </c>
      <c r="C282" s="6" t="inlineStr">
        <is>
          <t>maior entre deduções legais R$ 932,31 e desconto simplificado R$ 607,20</t>
        </is>
      </c>
      <c r="D282" s="7" t="n">
        <v>932.3099999999999</v>
      </c>
      <c r="E282" s="6" t="inlineStr">
        <is>
          <t>Lei 9.250/1995, art. 4º; Lei 15.191/2025</t>
        </is>
      </c>
    </row>
    <row r="283">
      <c r="A283" s="5" t="inlineStr">
        <is>
          <t>SOC2-A</t>
        </is>
      </c>
      <c r="B283" s="6" t="inlineStr">
        <is>
          <t>Base de cálculo</t>
        </is>
      </c>
      <c r="C283" s="6" t="inlineStr">
        <is>
          <t>R$ 30.000,00 - R$ 932,31</t>
        </is>
      </c>
      <c r="D283" s="7" t="n">
        <v>29067.69</v>
      </c>
      <c r="E283" s="6" t="inlineStr"/>
    </row>
    <row r="284">
      <c r="A284" s="5" t="inlineStr">
        <is>
          <t>SOC2-A</t>
        </is>
      </c>
      <c r="B284" s="6" t="inlineStr">
        <is>
          <t>Imposto pela tabela progressiva</t>
        </is>
      </c>
      <c r="C284" s="6" t="inlineStr">
        <is>
          <t>R$ 29.067,69 x 27,5% - R$ 908,73</t>
        </is>
      </c>
      <c r="D284" s="7" t="n">
        <v>7084.88475</v>
      </c>
      <c r="E284" s="6" t="inlineStr">
        <is>
          <t>Lei 15.191/2025 (tabela) + Lei 15.270/2025 (redução)</t>
        </is>
      </c>
    </row>
    <row r="285">
      <c r="A285" s="5" t="inlineStr">
        <is>
          <t>SOC2-A</t>
        </is>
      </c>
      <c r="B285" s="6" t="inlineStr">
        <is>
          <t>Redução Lei 15.270/2025</t>
        </is>
      </c>
      <c r="C285" s="6" t="inlineStr">
        <is>
          <t>rendimentos acima de R$ 7.350,00: sem redução</t>
        </is>
      </c>
      <c r="D285" s="7" t="n">
        <v>0</v>
      </c>
      <c r="E285" s="6" t="inlineStr">
        <is>
          <t>Lei 15.270/2025</t>
        </is>
      </c>
    </row>
    <row r="286">
      <c r="A286" s="5" t="inlineStr">
        <is>
          <t>SOC2-A</t>
        </is>
      </c>
      <c r="B286" s="6" t="inlineStr">
        <is>
          <t>CPP patronal sobre pró-labore</t>
        </is>
      </c>
      <c r="C286" s="6" t="inlineStr">
        <is>
          <t>R$ 30.000,00 x 20%</t>
        </is>
      </c>
      <c r="D286" s="7" t="n">
        <v>6000</v>
      </c>
      <c r="E286" s="6" t="inlineStr">
        <is>
          <t>Lei 8.212/1991, art. 22, III</t>
        </is>
      </c>
    </row>
    <row r="287">
      <c r="A287" s="5" t="inlineStr">
        <is>
          <t>SOC2-A</t>
        </is>
      </c>
      <c r="B287" s="6" t="inlineStr">
        <is>
          <t>Pró-labore e CPP reduzem o lucro real</t>
        </is>
      </c>
      <c r="C287" s="6" t="inlineStr">
        <is>
          <t>R$ 36.000,00 x 34%</t>
        </is>
      </c>
      <c r="D287" s="7" t="n">
        <v>12240</v>
      </c>
      <c r="E287" s="6" t="inlineStr">
        <is>
          <t>RIR/2018 (Decreto 9.580/2018)</t>
        </is>
      </c>
    </row>
    <row r="288">
      <c r="A288" s="5" t="inlineStr">
        <is>
          <t>SOC2-B</t>
        </is>
      </c>
      <c r="B288" s="6" t="inlineStr">
        <is>
          <t>INSS do sócio</t>
        </is>
      </c>
      <c r="C288" s="6" t="inlineStr">
        <is>
          <t>R$ 1.621,00 x 11% (limitado ao teto)</t>
        </is>
      </c>
      <c r="D288" s="7" t="n">
        <v>178.31</v>
      </c>
      <c r="E288" s="6" t="inlineStr">
        <is>
          <t>Lei 8.212/1991, art. 21 e 30, §4º</t>
        </is>
      </c>
    </row>
    <row r="289">
      <c r="A289" s="5" t="inlineStr">
        <is>
          <t>SOC2-B</t>
        </is>
      </c>
      <c r="B289" s="6" t="inlineStr">
        <is>
          <t>Dedução aplicada</t>
        </is>
      </c>
      <c r="C289" s="6" t="inlineStr">
        <is>
          <t>maior entre deduções legais R$ 178,31 e desconto simplificado R$ 607,20</t>
        </is>
      </c>
      <c r="D289" s="7" t="n">
        <v>607.2</v>
      </c>
      <c r="E289" s="6" t="inlineStr">
        <is>
          <t>Lei 9.250/1995, art. 4º; Lei 15.191/2025</t>
        </is>
      </c>
    </row>
    <row r="290">
      <c r="A290" s="5" t="inlineStr">
        <is>
          <t>SOC2-B</t>
        </is>
      </c>
      <c r="B290" s="6" t="inlineStr">
        <is>
          <t>Base de cálculo</t>
        </is>
      </c>
      <c r="C290" s="6" t="inlineStr">
        <is>
          <t>R$ 1.621,00 - R$ 607,20</t>
        </is>
      </c>
      <c r="D290" s="7" t="n">
        <v>1013.8</v>
      </c>
      <c r="E290" s="6" t="inlineStr"/>
    </row>
    <row r="291">
      <c r="A291" s="5" t="inlineStr">
        <is>
          <t>SOC2-B</t>
        </is>
      </c>
      <c r="B291" s="6" t="inlineStr">
        <is>
          <t>Imposto pela tabela progressiva</t>
        </is>
      </c>
      <c r="C291" s="6" t="inlineStr">
        <is>
          <t>R$ 1.013,80 x 0,0% - R$ 0,00</t>
        </is>
      </c>
      <c r="D291" s="7" t="n">
        <v>0</v>
      </c>
      <c r="E291" s="6" t="inlineStr">
        <is>
          <t>Lei 15.191/2025 (tabela) + Lei 15.270/2025 (redução)</t>
        </is>
      </c>
    </row>
    <row r="292">
      <c r="A292" s="5" t="inlineStr">
        <is>
          <t>SOC2-B</t>
        </is>
      </c>
      <c r="B292" s="6" t="inlineStr">
        <is>
          <t>CPP patronal sobre pró-labore</t>
        </is>
      </c>
      <c r="C292" s="6" t="inlineStr">
        <is>
          <t>R$ 1.621,00 x 20%</t>
        </is>
      </c>
      <c r="D292" s="7" t="n">
        <v>324.2</v>
      </c>
      <c r="E292" s="6" t="inlineStr">
        <is>
          <t>Lei 8.212/1991, art. 22, III</t>
        </is>
      </c>
    </row>
    <row r="293">
      <c r="A293" s="5" t="inlineStr">
        <is>
          <t>SOC2-B</t>
        </is>
      </c>
      <c r="B293" s="6" t="inlineStr">
        <is>
          <t>Pró-labore e CPP reduzem o lucro real</t>
        </is>
      </c>
      <c r="C293" s="6" t="inlineStr">
        <is>
          <t>R$ 1.945,20 x 34%</t>
        </is>
      </c>
      <c r="D293" s="7" t="n">
        <v>661.3680000000001</v>
      </c>
      <c r="E293" s="6" t="inlineStr">
        <is>
          <t>RIR/2018 (Decreto 9.580/2018)</t>
        </is>
      </c>
    </row>
    <row r="294">
      <c r="A294" s="5" t="inlineStr">
        <is>
          <t>SOC3-A</t>
        </is>
      </c>
      <c r="B294" s="6" t="inlineStr">
        <is>
          <t>INSS do sócio</t>
        </is>
      </c>
      <c r="C294" s="6" t="inlineStr">
        <is>
          <t>R$ 80.000,00 x 11% (limitado ao teto)</t>
        </is>
      </c>
      <c r="D294" s="7" t="n">
        <v>932.3099999999999</v>
      </c>
      <c r="E294" s="6" t="inlineStr">
        <is>
          <t>Lei 8.212/1991, art. 21 e 30, §4º</t>
        </is>
      </c>
    </row>
    <row r="295">
      <c r="A295" s="5" t="inlineStr">
        <is>
          <t>SOC3-A</t>
        </is>
      </c>
      <c r="B295" s="6" t="inlineStr">
        <is>
          <t>Dedução aplicada</t>
        </is>
      </c>
      <c r="C295" s="6" t="inlineStr">
        <is>
          <t>maior entre deduções legais R$ 932,31 e desconto simplificado R$ 607,20</t>
        </is>
      </c>
      <c r="D295" s="7" t="n">
        <v>932.3099999999999</v>
      </c>
      <c r="E295" s="6" t="inlineStr">
        <is>
          <t>Lei 9.250/1995, art. 4º; Lei 15.191/2025</t>
        </is>
      </c>
    </row>
    <row r="296">
      <c r="A296" s="5" t="inlineStr">
        <is>
          <t>SOC3-A</t>
        </is>
      </c>
      <c r="B296" s="6" t="inlineStr">
        <is>
          <t>Base de cálculo</t>
        </is>
      </c>
      <c r="C296" s="6" t="inlineStr">
        <is>
          <t>R$ 80.000,00 - R$ 932,31</t>
        </is>
      </c>
      <c r="D296" s="7" t="n">
        <v>79067.69</v>
      </c>
      <c r="E296" s="6" t="inlineStr"/>
    </row>
    <row r="297">
      <c r="A297" s="5" t="inlineStr">
        <is>
          <t>SOC3-A</t>
        </is>
      </c>
      <c r="B297" s="6" t="inlineStr">
        <is>
          <t>Imposto pela tabela progressiva</t>
        </is>
      </c>
      <c r="C297" s="6" t="inlineStr">
        <is>
          <t>R$ 79.067,69 x 27,5% - R$ 908,73</t>
        </is>
      </c>
      <c r="D297" s="7" t="n">
        <v>20834.88475</v>
      </c>
      <c r="E297" s="6" t="inlineStr">
        <is>
          <t>Lei 15.191/2025 (tabela) + Lei 15.270/2025 (redução)</t>
        </is>
      </c>
    </row>
    <row r="298">
      <c r="A298" s="5" t="inlineStr">
        <is>
          <t>SOC3-A</t>
        </is>
      </c>
      <c r="B298" s="6" t="inlineStr">
        <is>
          <t>Redução Lei 15.270/2025</t>
        </is>
      </c>
      <c r="C298" s="6" t="inlineStr">
        <is>
          <t>rendimentos acima de R$ 7.350,00: sem redução</t>
        </is>
      </c>
      <c r="D298" s="7" t="n">
        <v>0</v>
      </c>
      <c r="E298" s="6" t="inlineStr">
        <is>
          <t>Lei 15.270/2025</t>
        </is>
      </c>
    </row>
    <row r="299">
      <c r="A299" s="5" t="inlineStr">
        <is>
          <t>SOC3-A</t>
        </is>
      </c>
      <c r="B299" s="6" t="inlineStr">
        <is>
          <t>CPP patronal sobre pró-labore</t>
        </is>
      </c>
      <c r="C299" s="6" t="inlineStr">
        <is>
          <t>R$ 80.000,00 x 20%</t>
        </is>
      </c>
      <c r="D299" s="7" t="n">
        <v>16000</v>
      </c>
      <c r="E299" s="6" t="inlineStr">
        <is>
          <t>Lei 8.212/1991, art. 22, III</t>
        </is>
      </c>
    </row>
    <row r="300">
      <c r="A300" s="5" t="inlineStr">
        <is>
          <t>SOC3-B</t>
        </is>
      </c>
      <c r="B300" s="6" t="inlineStr">
        <is>
          <t>INSS do sócio</t>
        </is>
      </c>
      <c r="C300" s="6" t="inlineStr">
        <is>
          <t>R$ 1.621,00 x 11% (limitado ao teto)</t>
        </is>
      </c>
      <c r="D300" s="7" t="n">
        <v>178.31</v>
      </c>
      <c r="E300" s="6" t="inlineStr">
        <is>
          <t>Lei 8.212/1991, art. 21 e 30, §4º</t>
        </is>
      </c>
    </row>
    <row r="301">
      <c r="A301" s="5" t="inlineStr">
        <is>
          <t>SOC3-B</t>
        </is>
      </c>
      <c r="B301" s="6" t="inlineStr">
        <is>
          <t>Dedução aplicada</t>
        </is>
      </c>
      <c r="C301" s="6" t="inlineStr">
        <is>
          <t>maior entre deduções legais R$ 178,31 e desconto simplificado R$ 607,20</t>
        </is>
      </c>
      <c r="D301" s="7" t="n">
        <v>607.2</v>
      </c>
      <c r="E301" s="6" t="inlineStr">
        <is>
          <t>Lei 9.250/1995, art. 4º; Lei 15.191/2025</t>
        </is>
      </c>
    </row>
    <row r="302">
      <c r="A302" s="5" t="inlineStr">
        <is>
          <t>SOC3-B</t>
        </is>
      </c>
      <c r="B302" s="6" t="inlineStr">
        <is>
          <t>Base de cálculo</t>
        </is>
      </c>
      <c r="C302" s="6" t="inlineStr">
        <is>
          <t>R$ 1.621,00 - R$ 607,20</t>
        </is>
      </c>
      <c r="D302" s="7" t="n">
        <v>1013.8</v>
      </c>
      <c r="E302" s="6" t="inlineStr"/>
    </row>
    <row r="303">
      <c r="A303" s="5" t="inlineStr">
        <is>
          <t>SOC3-B</t>
        </is>
      </c>
      <c r="B303" s="6" t="inlineStr">
        <is>
          <t>Imposto pela tabela progressiva</t>
        </is>
      </c>
      <c r="C303" s="6" t="inlineStr">
        <is>
          <t>R$ 1.013,80 x 0,0% - R$ 0,00</t>
        </is>
      </c>
      <c r="D303" s="7" t="n">
        <v>0</v>
      </c>
      <c r="E303" s="6" t="inlineStr">
        <is>
          <t>Lei 15.191/2025 (tabela) + Lei 15.270/2025 (redução)</t>
        </is>
      </c>
    </row>
    <row r="304">
      <c r="A304" s="5" t="inlineStr">
        <is>
          <t>SOC3-B</t>
        </is>
      </c>
      <c r="B304" s="6" t="inlineStr">
        <is>
          <t>CPP patronal sobre pró-labore</t>
        </is>
      </c>
      <c r="C304" s="6" t="inlineStr">
        <is>
          <t>R$ 1.621,00 x 20%</t>
        </is>
      </c>
      <c r="D304" s="7" t="n">
        <v>324.2</v>
      </c>
      <c r="E304" s="6" t="inlineStr">
        <is>
          <t>Lei 8.212/1991, art. 22, III</t>
        </is>
      </c>
    </row>
    <row r="305">
      <c r="A305" s="5" t="inlineStr">
        <is>
          <t>SOC3-B</t>
        </is>
      </c>
      <c r="B305" s="6" t="inlineStr">
        <is>
          <t>Retenção sobre dividendos</t>
        </is>
      </c>
      <c r="C305" s="6" t="inlineStr">
        <is>
          <t>R$ 78.379,00 x 10% (total do mês &gt; R$ 50 mil)</t>
        </is>
      </c>
      <c r="D305" s="7" t="n">
        <v>7837.9</v>
      </c>
      <c r="E305" s="6" t="inlineStr">
        <is>
          <t>Lei 9.249/1995, art. 6º-A (Lei 15.270/2025)</t>
        </is>
      </c>
    </row>
    <row r="306">
      <c r="A306" s="5" t="inlineStr">
        <is>
          <t>RT1-2025</t>
        </is>
      </c>
      <c r="B306" s="6" t="inlineStr">
        <is>
          <t>PIS/Cofins</t>
        </is>
      </c>
      <c r="C306" s="6" t="inlineStr">
        <is>
          <t>R$ 2.000.000,00 x 3,65%</t>
        </is>
      </c>
      <c r="D306" s="7" t="n">
        <v>73000</v>
      </c>
      <c r="E306" s="6" t="inlineStr"/>
    </row>
    <row r="307">
      <c r="A307" s="5" t="inlineStr">
        <is>
          <t>RT1-2025</t>
        </is>
      </c>
      <c r="B307" s="6" t="inlineStr">
        <is>
          <t>ICMS</t>
        </is>
      </c>
      <c r="C307" s="6" t="inlineStr">
        <is>
          <t>(débito R$ 360.000,00 - crédito R$ 216.000,00) x 100% da alíquota</t>
        </is>
      </c>
      <c r="D307" s="7" t="n">
        <v>144000</v>
      </c>
      <c r="E307" s="6" t="inlineStr">
        <is>
          <t>EC 132/2023, ADCT art. 128</t>
        </is>
      </c>
    </row>
    <row r="308">
      <c r="A308" s="5" t="inlineStr">
        <is>
          <t>RT1-2027</t>
        </is>
      </c>
      <c r="B308" s="6" t="inlineStr">
        <is>
          <t>ICMS</t>
        </is>
      </c>
      <c r="C308" s="6" t="inlineStr">
        <is>
          <t>(débito R$ 360.000,00 - crédito R$ 216.000,00) x 100% da alíquota</t>
        </is>
      </c>
      <c r="D308" s="7" t="n">
        <v>144000</v>
      </c>
      <c r="E308" s="6" t="inlineStr">
        <is>
          <t>EC 132/2023, ADCT art. 128</t>
        </is>
      </c>
    </row>
    <row r="309">
      <c r="A309" s="5" t="inlineStr">
        <is>
          <t>RT1-2027</t>
        </is>
      </c>
      <c r="B309" s="6" t="inlineStr">
        <is>
          <t>CBS</t>
        </is>
      </c>
      <c r="C309" s="6" t="inlineStr">
        <is>
          <t>R$ 1.567.000,00 x 8,700% - crédito R$ 873.000,00 x 8,700%</t>
        </is>
      </c>
      <c r="D309" s="7" t="n">
        <v>60378</v>
      </c>
      <c r="E309" s="6" t="inlineStr">
        <is>
          <t>EC 132/2023 (ADCT, arts. 125 a 133); LC 214/2025</t>
        </is>
      </c>
    </row>
    <row r="310">
      <c r="A310" s="5" t="inlineStr">
        <is>
          <t>RT1-2027</t>
        </is>
      </c>
      <c r="B310" s="6" t="inlineStr">
        <is>
          <t>IBS</t>
        </is>
      </c>
      <c r="C310" s="6" t="inlineStr">
        <is>
          <t>R$ 1.567.000,00 x 0,100% - crédito R$ 873.000,00 x 0,100%</t>
        </is>
      </c>
      <c r="D310" s="7" t="n">
        <v>694</v>
      </c>
      <c r="E310" s="6" t="inlineStr">
        <is>
          <t>EC 132/2023 (ADCT, arts. 125 a 133); LC 214/2025</t>
        </is>
      </c>
    </row>
    <row r="311">
      <c r="A311" s="5" t="inlineStr">
        <is>
          <t>RT1-2029</t>
        </is>
      </c>
      <c r="B311" s="6" t="inlineStr">
        <is>
          <t>ICMS</t>
        </is>
      </c>
      <c r="C311" s="6" t="inlineStr">
        <is>
          <t>(débito R$ 360.000,00 - crédito R$ 216.000,00) x 90% da alíquota</t>
        </is>
      </c>
      <c r="D311" s="7" t="n">
        <v>129600</v>
      </c>
      <c r="E311" s="6" t="inlineStr">
        <is>
          <t>EC 132/2023, ADCT art. 128</t>
        </is>
      </c>
    </row>
    <row r="312">
      <c r="A312" s="5" t="inlineStr">
        <is>
          <t>RT1-2029</t>
        </is>
      </c>
      <c r="B312" s="6" t="inlineStr">
        <is>
          <t>CBS</t>
        </is>
      </c>
      <c r="C312" s="6" t="inlineStr">
        <is>
          <t>R$ 1.567.000,00 x 8,800% - crédito R$ 873.000,00 x 8,800%</t>
        </is>
      </c>
      <c r="D312" s="7" t="n">
        <v>61072</v>
      </c>
      <c r="E312" s="6" t="inlineStr">
        <is>
          <t>EC 132/2023 (ADCT, arts. 125 a 133); LC 214/2025</t>
        </is>
      </c>
    </row>
    <row r="313">
      <c r="A313" s="5" t="inlineStr">
        <is>
          <t>RT1-2029</t>
        </is>
      </c>
      <c r="B313" s="6" t="inlineStr">
        <is>
          <t>IBS</t>
        </is>
      </c>
      <c r="C313" s="6" t="inlineStr">
        <is>
          <t>R$ 1.567.000,00 x 1,770% - crédito R$ 873.000,00 x 1,770%</t>
        </is>
      </c>
      <c r="D313" s="7" t="n">
        <v>12283.8</v>
      </c>
      <c r="E313" s="6" t="inlineStr">
        <is>
          <t>EC 132/2023 (ADCT, arts. 125 a 133); LC 214/2025</t>
        </is>
      </c>
    </row>
    <row r="314">
      <c r="A314" s="5" t="inlineStr">
        <is>
          <t>RT1-2033</t>
        </is>
      </c>
      <c r="B314" s="6" t="inlineStr">
        <is>
          <t>CBS</t>
        </is>
      </c>
      <c r="C314" s="6" t="inlineStr">
        <is>
          <t>R$ 1.567.000,00 x 8,800% - crédito R$ 873.000,00 x 8,800%</t>
        </is>
      </c>
      <c r="D314" s="7" t="n">
        <v>61072</v>
      </c>
      <c r="E314" s="6" t="inlineStr">
        <is>
          <t>EC 132/2023 (ADCT, arts. 125 a 133); LC 214/2025</t>
        </is>
      </c>
    </row>
    <row r="315">
      <c r="A315" s="5" t="inlineStr">
        <is>
          <t>RT1-2033</t>
        </is>
      </c>
      <c r="B315" s="6" t="inlineStr">
        <is>
          <t>IBS</t>
        </is>
      </c>
      <c r="C315" s="6" t="inlineStr">
        <is>
          <t>R$ 1.567.000,00 x 17,700% - crédito R$ 873.000,00 x 17,700%</t>
        </is>
      </c>
      <c r="D315" s="7" t="n">
        <v>122838</v>
      </c>
      <c r="E315" s="6" t="inlineStr">
        <is>
          <t>EC 132/2023 (ADCT, arts. 125 a 133); LC 214/2025</t>
        </is>
      </c>
    </row>
    <row r="316">
      <c r="A316" s="5" t="inlineStr">
        <is>
          <t>RT2-2025</t>
        </is>
      </c>
      <c r="B316" s="6" t="inlineStr">
        <is>
          <t>PIS/Cofins</t>
        </is>
      </c>
      <c r="C316" s="6" t="inlineStr">
        <is>
          <t>R$ 1.200.000,00 x 3,65%</t>
        </is>
      </c>
      <c r="D316" s="7" t="n">
        <v>43800</v>
      </c>
      <c r="E316" s="6" t="inlineStr"/>
    </row>
    <row r="317">
      <c r="A317" s="5" t="inlineStr">
        <is>
          <t>RT2-2025</t>
        </is>
      </c>
      <c r="B317" s="6" t="inlineStr">
        <is>
          <t>ISS</t>
        </is>
      </c>
      <c r="C317" s="6" t="inlineStr">
        <is>
          <t>R$ 1.200.000,00 x 5,00% x 100% da alíquota</t>
        </is>
      </c>
      <c r="D317" s="7" t="n">
        <v>60000</v>
      </c>
      <c r="E317" s="6" t="inlineStr">
        <is>
          <t>EC 132/2023, ADCT art. 128</t>
        </is>
      </c>
    </row>
    <row r="318">
      <c r="A318" s="5" t="inlineStr">
        <is>
          <t>RT2-2027</t>
        </is>
      </c>
      <c r="B318" s="6" t="inlineStr">
        <is>
          <t>ISS</t>
        </is>
      </c>
      <c r="C318" s="6" t="inlineStr">
        <is>
          <t>R$ 1.200.000,00 x 5,00% x 100% da alíquota</t>
        </is>
      </c>
      <c r="D318" s="7" t="n">
        <v>60000</v>
      </c>
      <c r="E318" s="6" t="inlineStr">
        <is>
          <t>EC 132/2023, ADCT art. 128</t>
        </is>
      </c>
    </row>
    <row r="319">
      <c r="A319" s="5" t="inlineStr">
        <is>
          <t>RT2-2027</t>
        </is>
      </c>
      <c r="B319" s="6" t="inlineStr">
        <is>
          <t>CBS</t>
        </is>
      </c>
      <c r="C319" s="6" t="inlineStr">
        <is>
          <t>R$ 1.096.200,00 x 8,700% - crédito R$ 108.900,00 x 8,700%</t>
        </is>
      </c>
      <c r="D319" s="7" t="n">
        <v>85895.10000000001</v>
      </c>
      <c r="E319" s="6" t="inlineStr">
        <is>
          <t>EC 132/2023 (ADCT, arts. 125 a 133); LC 214/2025</t>
        </is>
      </c>
    </row>
    <row r="320">
      <c r="A320" s="5" t="inlineStr">
        <is>
          <t>RT2-2027</t>
        </is>
      </c>
      <c r="B320" s="6" t="inlineStr">
        <is>
          <t>IBS</t>
        </is>
      </c>
      <c r="C320" s="6" t="inlineStr">
        <is>
          <t>R$ 1.096.200,00 x 0,100% - crédito R$ 108.900,00 x 0,100%</t>
        </is>
      </c>
      <c r="D320" s="7" t="n">
        <v>987.3</v>
      </c>
      <c r="E320" s="6" t="inlineStr">
        <is>
          <t>EC 132/2023 (ADCT, arts. 125 a 133); LC 214/2025</t>
        </is>
      </c>
    </row>
    <row r="321">
      <c r="A321" s="5" t="inlineStr">
        <is>
          <t>RT2-2029</t>
        </is>
      </c>
      <c r="B321" s="6" t="inlineStr">
        <is>
          <t>ISS</t>
        </is>
      </c>
      <c r="C321" s="6" t="inlineStr">
        <is>
          <t>R$ 1.200.000,00 x 5,00% x 90% da alíquota</t>
        </is>
      </c>
      <c r="D321" s="7" t="n">
        <v>54000</v>
      </c>
      <c r="E321" s="6" t="inlineStr">
        <is>
          <t>EC 132/2023, ADCT art. 128</t>
        </is>
      </c>
    </row>
    <row r="322">
      <c r="A322" s="5" t="inlineStr">
        <is>
          <t>RT2-2029</t>
        </is>
      </c>
      <c r="B322" s="6" t="inlineStr">
        <is>
          <t>CBS</t>
        </is>
      </c>
      <c r="C322" s="6" t="inlineStr">
        <is>
          <t>R$ 1.096.200,00 x 8,800% - crédito R$ 108.900,00 x 8,800%</t>
        </is>
      </c>
      <c r="D322" s="7" t="n">
        <v>86882.39999999999</v>
      </c>
      <c r="E322" s="6" t="inlineStr">
        <is>
          <t>EC 132/2023 (ADCT, arts. 125 a 133); LC 214/2025</t>
        </is>
      </c>
    </row>
    <row r="323">
      <c r="A323" s="5" t="inlineStr">
        <is>
          <t>RT2-2029</t>
        </is>
      </c>
      <c r="B323" s="6" t="inlineStr">
        <is>
          <t>IBS</t>
        </is>
      </c>
      <c r="C323" s="6" t="inlineStr">
        <is>
          <t>R$ 1.096.200,00 x 1,770% - crédito R$ 108.900,00 x 1,770%</t>
        </is>
      </c>
      <c r="D323" s="7" t="n">
        <v>17475.21</v>
      </c>
      <c r="E323" s="6" t="inlineStr">
        <is>
          <t>EC 132/2023 (ADCT, arts. 125 a 133); LC 214/2025</t>
        </is>
      </c>
    </row>
    <row r="324">
      <c r="A324" s="5" t="inlineStr">
        <is>
          <t>RT2-2033</t>
        </is>
      </c>
      <c r="B324" s="6" t="inlineStr">
        <is>
          <t>CBS</t>
        </is>
      </c>
      <c r="C324" s="6" t="inlineStr">
        <is>
          <t>R$ 1.096.200,00 x 8,800% - crédito R$ 108.900,00 x 8,800%</t>
        </is>
      </c>
      <c r="D324" s="7" t="n">
        <v>86882.39999999999</v>
      </c>
      <c r="E324" s="6" t="inlineStr">
        <is>
          <t>EC 132/2023 (ADCT, arts. 125 a 133); LC 214/2025</t>
        </is>
      </c>
    </row>
    <row r="325">
      <c r="A325" s="5" t="inlineStr">
        <is>
          <t>RT2-2033</t>
        </is>
      </c>
      <c r="B325" s="6" t="inlineStr">
        <is>
          <t>IBS</t>
        </is>
      </c>
      <c r="C325" s="6" t="inlineStr">
        <is>
          <t>R$ 1.096.200,00 x 17,700% - crédito R$ 108.900,00 x 17,700%</t>
        </is>
      </c>
      <c r="D325" s="7" t="n">
        <v>174752.1</v>
      </c>
      <c r="E325" s="6" t="inlineStr">
        <is>
          <t>EC 132/2023 (ADCT, arts. 125 a 133); LC 214/2025</t>
        </is>
      </c>
    </row>
    <row r="326">
      <c r="A326" s="5" t="inlineStr">
        <is>
          <t>RT3-2025</t>
        </is>
      </c>
      <c r="B326" s="6" t="inlineStr">
        <is>
          <t>PIS/Cofins</t>
        </is>
      </c>
      <c r="C326" s="6" t="inlineStr">
        <is>
          <t>R$ 600.000,00 x 3,65%</t>
        </is>
      </c>
      <c r="D326" s="7" t="n">
        <v>21900</v>
      </c>
      <c r="E326" s="6" t="inlineStr"/>
    </row>
    <row r="327">
      <c r="A327" s="5" t="inlineStr">
        <is>
          <t>RT3-2025</t>
        </is>
      </c>
      <c r="B327" s="6" t="inlineStr">
        <is>
          <t>ISS</t>
        </is>
      </c>
      <c r="C327" s="6" t="inlineStr">
        <is>
          <t>R$ 600.000,00 x 5,00% x 100% da alíquota</t>
        </is>
      </c>
      <c r="D327" s="7" t="n">
        <v>30000</v>
      </c>
      <c r="E327" s="6" t="inlineStr">
        <is>
          <t>EC 132/2023, ADCT art. 128</t>
        </is>
      </c>
    </row>
    <row r="328">
      <c r="A328" s="5" t="inlineStr">
        <is>
          <t>RT3-2027</t>
        </is>
      </c>
      <c r="B328" s="6" t="inlineStr">
        <is>
          <t>ISS</t>
        </is>
      </c>
      <c r="C328" s="6" t="inlineStr">
        <is>
          <t>R$ 600.000,00 x 5,00% x 100% da alíquota</t>
        </is>
      </c>
      <c r="D328" s="7" t="n">
        <v>30000</v>
      </c>
      <c r="E328" s="6" t="inlineStr">
        <is>
          <t>EC 132/2023, ADCT art. 128</t>
        </is>
      </c>
    </row>
    <row r="329">
      <c r="A329" s="5" t="inlineStr">
        <is>
          <t>RT3-2027</t>
        </is>
      </c>
      <c r="B329" s="6" t="inlineStr">
        <is>
          <t>CBS</t>
        </is>
      </c>
      <c r="C329" s="6" t="inlineStr">
        <is>
          <t>R$ 548.100,00 x 6,090% - crédito R$ 54.450,00 x 8,700%</t>
        </is>
      </c>
      <c r="D329" s="7" t="n">
        <v>28642.14</v>
      </c>
      <c r="E329" s="6" t="inlineStr">
        <is>
          <t>EC 132/2023 (ADCT, arts. 125 a 133); LC 214/2025</t>
        </is>
      </c>
    </row>
    <row r="330">
      <c r="A330" s="5" t="inlineStr">
        <is>
          <t>RT3-2027</t>
        </is>
      </c>
      <c r="B330" s="6" t="inlineStr">
        <is>
          <t>IBS</t>
        </is>
      </c>
      <c r="C330" s="6" t="inlineStr">
        <is>
          <t>R$ 548.100,00 x 0,070% - crédito R$ 54.450,00 x 0,100%</t>
        </is>
      </c>
      <c r="D330" s="7" t="n">
        <v>329.22</v>
      </c>
      <c r="E330" s="6" t="inlineStr">
        <is>
          <t>EC 132/2023 (ADCT, arts. 125 a 133); LC 214/2025</t>
        </is>
      </c>
    </row>
    <row r="331">
      <c r="A331" s="5" t="inlineStr">
        <is>
          <t>RT3-2029</t>
        </is>
      </c>
      <c r="B331" s="6" t="inlineStr">
        <is>
          <t>ISS</t>
        </is>
      </c>
      <c r="C331" s="6" t="inlineStr">
        <is>
          <t>R$ 600.000,00 x 5,00% x 90% da alíquota</t>
        </is>
      </c>
      <c r="D331" s="7" t="n">
        <v>27000</v>
      </c>
      <c r="E331" s="6" t="inlineStr">
        <is>
          <t>EC 132/2023, ADCT art. 128</t>
        </is>
      </c>
    </row>
    <row r="332">
      <c r="A332" s="5" t="inlineStr">
        <is>
          <t>RT3-2029</t>
        </is>
      </c>
      <c r="B332" s="6" t="inlineStr">
        <is>
          <t>CBS</t>
        </is>
      </c>
      <c r="C332" s="6" t="inlineStr">
        <is>
          <t>R$ 548.100,00 x 6,160% - crédito R$ 54.450,00 x 8,800%</t>
        </is>
      </c>
      <c r="D332" s="7" t="n">
        <v>28971.36</v>
      </c>
      <c r="E332" s="6" t="inlineStr">
        <is>
          <t>EC 132/2023 (ADCT, arts. 125 a 133); LC 214/2025</t>
        </is>
      </c>
    </row>
    <row r="333">
      <c r="A333" s="5" t="inlineStr">
        <is>
          <t>RT3-2029</t>
        </is>
      </c>
      <c r="B333" s="6" t="inlineStr">
        <is>
          <t>IBS</t>
        </is>
      </c>
      <c r="C333" s="6" t="inlineStr">
        <is>
          <t>R$ 548.100,00 x 1,239% - crédito R$ 54.450,00 x 1,770%</t>
        </is>
      </c>
      <c r="D333" s="7" t="n">
        <v>5827.194</v>
      </c>
      <c r="E333" s="6" t="inlineStr">
        <is>
          <t>EC 132/2023 (ADCT, arts. 125 a 133); LC 214/2025</t>
        </is>
      </c>
    </row>
    <row r="334">
      <c r="A334" s="5" t="inlineStr">
        <is>
          <t>RT3-2033</t>
        </is>
      </c>
      <c r="B334" s="6" t="inlineStr">
        <is>
          <t>CBS</t>
        </is>
      </c>
      <c r="C334" s="6" t="inlineStr">
        <is>
          <t>R$ 548.100,00 x 6,160% - crédito R$ 54.450,00 x 8,800%</t>
        </is>
      </c>
      <c r="D334" s="7" t="n">
        <v>28971.36</v>
      </c>
      <c r="E334" s="6" t="inlineStr">
        <is>
          <t>EC 132/2023 (ADCT, arts. 125 a 133); LC 214/2025</t>
        </is>
      </c>
    </row>
    <row r="335">
      <c r="A335" s="5" t="inlineStr">
        <is>
          <t>RT3-2033</t>
        </is>
      </c>
      <c r="B335" s="6" t="inlineStr">
        <is>
          <t>IBS</t>
        </is>
      </c>
      <c r="C335" s="6" t="inlineStr">
        <is>
          <t>R$ 548.100,00 x 12,390% - crédito R$ 54.450,00 x 17,700%</t>
        </is>
      </c>
      <c r="D335" s="7" t="n">
        <v>58271.94</v>
      </c>
      <c r="E335" s="6" t="inlineStr">
        <is>
          <t>EC 132/2023 (ADCT, arts. 125 a 133); LC 214/2025</t>
        </is>
      </c>
    </row>
    <row r="336">
      <c r="A336" s="5" t="inlineStr">
        <is>
          <t>RT4-2025</t>
        </is>
      </c>
      <c r="B336" s="6" t="inlineStr">
        <is>
          <t>PIS/Cofins</t>
        </is>
      </c>
      <c r="C336" s="6" t="inlineStr">
        <is>
          <t>máx(0; (R$ 3.000.000,00 - R$ 1.700.000,00) x 9,25%)</t>
        </is>
      </c>
      <c r="D336" s="7" t="n">
        <v>120250</v>
      </c>
      <c r="E336" s="6" t="inlineStr"/>
    </row>
    <row r="337">
      <c r="A337" s="5" t="inlineStr">
        <is>
          <t>RT4-2025</t>
        </is>
      </c>
      <c r="B337" s="6" t="inlineStr">
        <is>
          <t>IPI</t>
        </is>
      </c>
      <c r="C337" s="6" t="inlineStr">
        <is>
          <t>R$ 3.000.000,00 x 5,00%</t>
        </is>
      </c>
      <c r="D337" s="7" t="n">
        <v>150000</v>
      </c>
      <c r="E337" s="6" t="inlineStr"/>
    </row>
    <row r="338">
      <c r="A338" s="5" t="inlineStr">
        <is>
          <t>RT4-2025</t>
        </is>
      </c>
      <c r="B338" s="6" t="inlineStr">
        <is>
          <t>ICMS</t>
        </is>
      </c>
      <c r="C338" s="6" t="inlineStr">
        <is>
          <t>(débito R$ 540.000,00 - crédito R$ 270.000,00) x 100% da alíquota</t>
        </is>
      </c>
      <c r="D338" s="7" t="n">
        <v>270000</v>
      </c>
      <c r="E338" s="6" t="inlineStr">
        <is>
          <t>EC 132/2023, ADCT art. 128</t>
        </is>
      </c>
    </row>
    <row r="339">
      <c r="A339" s="5" t="inlineStr">
        <is>
          <t>RT4-2027</t>
        </is>
      </c>
      <c r="B339" s="6" t="inlineStr">
        <is>
          <t>ICMS</t>
        </is>
      </c>
      <c r="C339" s="6" t="inlineStr">
        <is>
          <t>(débito R$ 540.000,00 - crédito R$ 270.000,00) x 100% da alíquota</t>
        </is>
      </c>
      <c r="D339" s="7" t="n">
        <v>270000</v>
      </c>
      <c r="E339" s="6" t="inlineStr">
        <is>
          <t>EC 132/2023, ADCT art. 128</t>
        </is>
      </c>
    </row>
    <row r="340">
      <c r="A340" s="5" t="inlineStr">
        <is>
          <t>RT4-2027</t>
        </is>
      </c>
      <c r="B340" s="6" t="inlineStr">
        <is>
          <t>CBS</t>
        </is>
      </c>
      <c r="C340" s="6" t="inlineStr">
        <is>
          <t>R$ 2.182.500,00 x 8,700% - crédito R$ 1.236.750,00 x 8,700%</t>
        </is>
      </c>
      <c r="D340" s="7" t="n">
        <v>82280.25</v>
      </c>
      <c r="E340" s="6" t="inlineStr">
        <is>
          <t>EC 132/2023 (ADCT, arts. 125 a 133); LC 214/2025</t>
        </is>
      </c>
    </row>
    <row r="341">
      <c r="A341" s="5" t="inlineStr">
        <is>
          <t>RT4-2027</t>
        </is>
      </c>
      <c r="B341" s="6" t="inlineStr">
        <is>
          <t>IBS</t>
        </is>
      </c>
      <c r="C341" s="6" t="inlineStr">
        <is>
          <t>R$ 2.182.500,00 x 0,100% - crédito R$ 1.236.750,00 x 0,100%</t>
        </is>
      </c>
      <c r="D341" s="7" t="n">
        <v>945.75</v>
      </c>
      <c r="E341" s="6" t="inlineStr">
        <is>
          <t>EC 132/2023 (ADCT, arts. 125 a 133); LC 214/2025</t>
        </is>
      </c>
    </row>
    <row r="342">
      <c r="A342" s="5" t="inlineStr">
        <is>
          <t>RT4-2029</t>
        </is>
      </c>
      <c r="B342" s="6" t="inlineStr">
        <is>
          <t>ICMS</t>
        </is>
      </c>
      <c r="C342" s="6" t="inlineStr">
        <is>
          <t>(débito R$ 540.000,00 - crédito R$ 270.000,00) x 90% da alíquota</t>
        </is>
      </c>
      <c r="D342" s="7" t="n">
        <v>243000</v>
      </c>
      <c r="E342" s="6" t="inlineStr">
        <is>
          <t>EC 132/2023, ADCT art. 128</t>
        </is>
      </c>
    </row>
    <row r="343">
      <c r="A343" s="5" t="inlineStr">
        <is>
          <t>RT4-2029</t>
        </is>
      </c>
      <c r="B343" s="6" t="inlineStr">
        <is>
          <t>CBS</t>
        </is>
      </c>
      <c r="C343" s="6" t="inlineStr">
        <is>
          <t>R$ 2.182.500,00 x 8,800% - crédito R$ 1.236.750,00 x 8,800%</t>
        </is>
      </c>
      <c r="D343" s="7" t="n">
        <v>83226</v>
      </c>
      <c r="E343" s="6" t="inlineStr">
        <is>
          <t>EC 132/2023 (ADCT, arts. 125 a 133); LC 214/2025</t>
        </is>
      </c>
    </row>
    <row r="344">
      <c r="A344" s="5" t="inlineStr">
        <is>
          <t>RT4-2029</t>
        </is>
      </c>
      <c r="B344" s="6" t="inlineStr">
        <is>
          <t>IBS</t>
        </is>
      </c>
      <c r="C344" s="6" t="inlineStr">
        <is>
          <t>R$ 2.182.500,00 x 1,770% - crédito R$ 1.236.750,00 x 1,770%</t>
        </is>
      </c>
      <c r="D344" s="7" t="n">
        <v>16739.775</v>
      </c>
      <c r="E344" s="6" t="inlineStr">
        <is>
          <t>EC 132/2023 (ADCT, arts. 125 a 133); LC 214/2025</t>
        </is>
      </c>
    </row>
    <row r="345">
      <c r="A345" s="5" t="inlineStr">
        <is>
          <t>RT4-2033</t>
        </is>
      </c>
      <c r="B345" s="6" t="inlineStr">
        <is>
          <t>CBS</t>
        </is>
      </c>
      <c r="C345" s="6" t="inlineStr">
        <is>
          <t>R$ 2.182.500,00 x 8,800% - crédito R$ 1.236.750,00 x 8,800%</t>
        </is>
      </c>
      <c r="D345" s="7" t="n">
        <v>83226</v>
      </c>
      <c r="E345" s="6" t="inlineStr">
        <is>
          <t>EC 132/2023 (ADCT, arts. 125 a 133); LC 214/2025</t>
        </is>
      </c>
    </row>
    <row r="346">
      <c r="A346" s="5" t="inlineStr">
        <is>
          <t>RT4-2033</t>
        </is>
      </c>
      <c r="B346" s="6" t="inlineStr">
        <is>
          <t>IBS</t>
        </is>
      </c>
      <c r="C346" s="6" t="inlineStr">
        <is>
          <t>R$ 2.182.500,00 x 17,700% - crédito R$ 1.236.750,00 x 17,700%</t>
        </is>
      </c>
      <c r="D346" s="7" t="n">
        <v>167397.75</v>
      </c>
      <c r="E346" s="6" t="inlineStr">
        <is>
          <t>EC 132/2023 (ADCT, arts. 125 a 133); LC 214/2025</t>
        </is>
      </c>
    </row>
    <row r="347">
      <c r="A347" s="5" t="inlineStr">
        <is>
          <t>SR1-2027</t>
        </is>
      </c>
      <c r="B347" s="6" t="inlineStr">
        <is>
          <t>Anexo I: alíquota efetiva do DAS</t>
        </is>
      </c>
      <c r="C347" s="6" t="inlineStr">
        <is>
          <t>RBT12 R$ 2.000.000,00</t>
        </is>
      </c>
      <c r="D347" s="7" t="n">
        <v>0.09934999999999999</v>
      </c>
      <c r="E347" s="6" t="inlineStr">
        <is>
          <t>LC 123/2006, art. 18, §1º e §1º-A</t>
        </is>
      </c>
    </row>
    <row r="348">
      <c r="A348" s="5" t="inlineStr">
        <is>
          <t>SR1-2027</t>
        </is>
      </c>
      <c r="B348" s="6" t="inlineStr">
        <is>
          <t>Alíquota da fatia do DAS substituída por IBS/CBS</t>
        </is>
      </c>
      <c r="C348" s="6" t="inlineStr">
        <is>
          <t>PIS 2,76% + COFINS 12,74% = 15,50% do DAS</t>
        </is>
      </c>
      <c r="D348" s="19" t="n">
        <v>0.155</v>
      </c>
      <c r="E348" s="6" t="inlineStr">
        <is>
          <t>LC 123/2006, tabelas de partilha</t>
        </is>
      </c>
    </row>
    <row r="349">
      <c r="A349" s="5" t="inlineStr">
        <is>
          <t>SR1-2027</t>
        </is>
      </c>
      <c r="B349" s="6" t="inlineStr">
        <is>
          <t>Alíquota de IBS/CBS na venda (por fora)</t>
        </is>
      </c>
      <c r="C349" s="6" t="inlineStr">
        <is>
          <t>com redução setorial de 0%</t>
        </is>
      </c>
      <c r="D349" s="19" t="n">
        <v>0.08799999999999999</v>
      </c>
      <c r="E349" s="6" t="inlineStr">
        <is>
          <t>LC 214/2025; LC 123/2006 (opção pelo regime regular de IBS/CBS)</t>
        </is>
      </c>
    </row>
    <row r="350">
      <c r="A350" s="5" t="inlineStr">
        <is>
          <t>SR1-2027</t>
        </is>
      </c>
      <c r="B350" s="6" t="inlineStr">
        <is>
          <t>Receita líquida — tudo no DAS</t>
        </is>
      </c>
      <c r="C350" s="6" t="inlineStr">
        <is>
          <t>R$ 2.000.000,00 x (1 - 9,94%)</t>
        </is>
      </c>
      <c r="D350" s="7" t="n">
        <v>1801300</v>
      </c>
      <c r="E350" s="6" t="inlineStr">
        <is>
          <t>LC 214/2025; LC 123/2006 (opção pelo regime regular de IBS/CBS)</t>
        </is>
      </c>
    </row>
    <row r="351">
      <c r="A351" s="5" t="inlineStr">
        <is>
          <t>SR1-2027</t>
        </is>
      </c>
      <c r="B351" s="6" t="inlineStr">
        <is>
          <t>Crédito de IBS/CBS nas compras (só por fora)</t>
        </is>
      </c>
      <c r="C351" s="6" t="inlineStr">
        <is>
          <t>R$ 1.200.000,00 x 8,80%</t>
        </is>
      </c>
      <c r="D351" s="7" t="n">
        <v>105600</v>
      </c>
      <c r="E351" s="6" t="inlineStr">
        <is>
          <t>LC 214/2025; LC 123/2006 (opção pelo regime regular de IBS/CBS)</t>
        </is>
      </c>
    </row>
    <row r="352">
      <c r="A352" s="5" t="inlineStr">
        <is>
          <t>SR1-2027</t>
        </is>
      </c>
      <c r="B352" s="6" t="inlineStr">
        <is>
          <t>Receita líquida — IBS/CBS por fora</t>
        </is>
      </c>
      <c r="C352" s="6" t="inlineStr">
        <is>
          <t>R$ 2.000.000,00 x [80% B2B x (1 - e·s)(1 - e·(1-s)) + 20% B2C x (1 - e·(1-s)) / (1 + 8,80%)] + créditos</t>
        </is>
      </c>
      <c r="D352" s="7" t="n">
        <v>1885491.2582391</v>
      </c>
      <c r="E352" s="6" t="inlineStr">
        <is>
          <t>LC 214/2025; LC 123/2006 (opção pelo regime regular de IBS/CBS)</t>
        </is>
      </c>
    </row>
    <row r="353">
      <c r="A353" s="5" t="inlineStr">
        <is>
          <t>SR1-2033</t>
        </is>
      </c>
      <c r="B353" s="6" t="inlineStr">
        <is>
          <t>Anexo I: alíquota efetiva do DAS</t>
        </is>
      </c>
      <c r="C353" s="6" t="inlineStr">
        <is>
          <t>RBT12 R$ 2.000.000,00</t>
        </is>
      </c>
      <c r="D353" s="7" t="n">
        <v>0.09934999999999999</v>
      </c>
      <c r="E353" s="6" t="inlineStr">
        <is>
          <t>LC 123/2006, art. 18, §1º e §1º-A</t>
        </is>
      </c>
    </row>
    <row r="354">
      <c r="A354" s="5" t="inlineStr">
        <is>
          <t>SR1-2033</t>
        </is>
      </c>
      <c r="B354" s="6" t="inlineStr">
        <is>
          <t>Alíquota da fatia do DAS substituída por IBS/CBS</t>
        </is>
      </c>
      <c r="C354" s="6" t="inlineStr">
        <is>
          <t>PIS 2,76% + COFINS 12,74% + ICMS 33,50% = 49,00% do DAS</t>
        </is>
      </c>
      <c r="D354" s="19" t="n">
        <v>0.49</v>
      </c>
      <c r="E354" s="6" t="inlineStr">
        <is>
          <t>LC 123/2006, tabelas de partilha</t>
        </is>
      </c>
    </row>
    <row r="355">
      <c r="A355" s="5" t="inlineStr">
        <is>
          <t>SR1-2033</t>
        </is>
      </c>
      <c r="B355" s="6" t="inlineStr">
        <is>
          <t>Alíquota de IBS/CBS na venda (por fora)</t>
        </is>
      </c>
      <c r="C355" s="6" t="inlineStr">
        <is>
          <t>com redução setorial de 0%</t>
        </is>
      </c>
      <c r="D355" s="19" t="n">
        <v>0.265</v>
      </c>
      <c r="E355" s="6" t="inlineStr">
        <is>
          <t>LC 214/2025; LC 123/2006 (opção pelo regime regular de IBS/CBS)</t>
        </is>
      </c>
    </row>
    <row r="356">
      <c r="A356" s="5" t="inlineStr">
        <is>
          <t>SR1-2033</t>
        </is>
      </c>
      <c r="B356" s="6" t="inlineStr">
        <is>
          <t>Receita líquida — tudo no DAS</t>
        </is>
      </c>
      <c r="C356" s="6" t="inlineStr">
        <is>
          <t>R$ 2.000.000,00 x (1 - 9,94%)</t>
        </is>
      </c>
      <c r="D356" s="7" t="n">
        <v>1801300</v>
      </c>
      <c r="E356" s="6" t="inlineStr">
        <is>
          <t>LC 214/2025; LC 123/2006 (opção pelo regime regular de IBS/CBS)</t>
        </is>
      </c>
    </row>
    <row r="357">
      <c r="A357" s="5" t="inlineStr">
        <is>
          <t>SR1-2033</t>
        </is>
      </c>
      <c r="B357" s="6" t="inlineStr">
        <is>
          <t>Crédito de IBS/CBS nas compras (só por fora)</t>
        </is>
      </c>
      <c r="C357" s="6" t="inlineStr">
        <is>
          <t>R$ 1.200.000,00 x 26,50%</t>
        </is>
      </c>
      <c r="D357" s="7" t="n">
        <v>318000</v>
      </c>
      <c r="E357" s="6" t="inlineStr">
        <is>
          <t>LC 214/2025; LC 123/2006 (opção pelo regime regular de IBS/CBS)</t>
        </is>
      </c>
    </row>
    <row r="358">
      <c r="A358" s="5" t="inlineStr">
        <is>
          <t>SR1-2033</t>
        </is>
      </c>
      <c r="B358" s="6" t="inlineStr">
        <is>
          <t>Receita líquida — IBS/CBS por fora</t>
        </is>
      </c>
      <c r="C358" s="6" t="inlineStr">
        <is>
          <t>R$ 2.000.000,00 x [80% B2B x (1 - e·s)(1 - e·(1-s)) + 20% B2C x (1 - e·(1-s)) / (1 + 26,50%)] + créditos</t>
        </is>
      </c>
      <c r="D358" s="7" t="n">
        <v>2063170.463250187</v>
      </c>
      <c r="E358" s="6" t="inlineStr">
        <is>
          <t>LC 214/2025; LC 123/2006 (opção pelo regime regular de IBS/CBS)</t>
        </is>
      </c>
    </row>
    <row r="359">
      <c r="A359" s="5" t="inlineStr">
        <is>
          <t>SR2-2027</t>
        </is>
      </c>
      <c r="B359" s="6" t="inlineStr">
        <is>
          <t>Anexo III: alíquota efetiva do DAS</t>
        </is>
      </c>
      <c r="C359" s="6" t="inlineStr">
        <is>
          <t>RBT12 R$ 600.000,00</t>
        </is>
      </c>
      <c r="D359" s="7" t="n">
        <v>0.1056</v>
      </c>
      <c r="E359" s="6" t="inlineStr">
        <is>
          <t>LC 123/2006, art. 18, §1º e §1º-A</t>
        </is>
      </c>
    </row>
    <row r="360">
      <c r="A360" s="5" t="inlineStr">
        <is>
          <t>SR2-2027</t>
        </is>
      </c>
      <c r="B360" s="6" t="inlineStr">
        <is>
          <t>Alíquota da fatia do DAS substituída por IBS/CBS</t>
        </is>
      </c>
      <c r="C360" s="6" t="inlineStr">
        <is>
          <t>PIS 2,96% + COFINS 13,64% = 16,60% do DAS</t>
        </is>
      </c>
      <c r="D360" s="19" t="n">
        <v>0.166</v>
      </c>
      <c r="E360" s="6" t="inlineStr">
        <is>
          <t>LC 123/2006, tabelas de partilha</t>
        </is>
      </c>
    </row>
    <row r="361">
      <c r="A361" s="5" t="inlineStr">
        <is>
          <t>SR2-2027</t>
        </is>
      </c>
      <c r="B361" s="6" t="inlineStr">
        <is>
          <t>Alíquota de IBS/CBS na venda (por fora)</t>
        </is>
      </c>
      <c r="C361" s="6" t="inlineStr">
        <is>
          <t>com redução setorial de 0%</t>
        </is>
      </c>
      <c r="D361" s="19" t="n">
        <v>0.08799999999999999</v>
      </c>
      <c r="E361" s="6" t="inlineStr">
        <is>
          <t>LC 214/2025; LC 123/2006 (opção pelo regime regular de IBS/CBS)</t>
        </is>
      </c>
    </row>
    <row r="362">
      <c r="A362" s="5" t="inlineStr">
        <is>
          <t>SR2-2027</t>
        </is>
      </c>
      <c r="B362" s="6" t="inlineStr">
        <is>
          <t>Receita líquida — tudo no DAS</t>
        </is>
      </c>
      <c r="C362" s="6" t="inlineStr">
        <is>
          <t>R$ 600.000,00 x (1 - 10,56%)</t>
        </is>
      </c>
      <c r="D362" s="7" t="n">
        <v>536640</v>
      </c>
      <c r="E362" s="6" t="inlineStr">
        <is>
          <t>LC 214/2025; LC 123/2006 (opção pelo regime regular de IBS/CBS)</t>
        </is>
      </c>
    </row>
    <row r="363">
      <c r="A363" s="5" t="inlineStr">
        <is>
          <t>SR2-2027</t>
        </is>
      </c>
      <c r="B363" s="6" t="inlineStr">
        <is>
          <t>Crédito de IBS/CBS nas compras (só por fora)</t>
        </is>
      </c>
      <c r="C363" s="6" t="inlineStr">
        <is>
          <t>R$ 0,00 x 8,80%</t>
        </is>
      </c>
      <c r="D363" s="7" t="n">
        <v>0</v>
      </c>
      <c r="E363" s="6" t="inlineStr">
        <is>
          <t>LC 214/2025; LC 123/2006 (opção pelo regime regular de IBS/CBS)</t>
        </is>
      </c>
    </row>
    <row r="364">
      <c r="A364" s="5" t="inlineStr">
        <is>
          <t>SR2-2027</t>
        </is>
      </c>
      <c r="B364" s="6" t="inlineStr">
        <is>
          <t>Receita líquida — IBS/CBS por fora</t>
        </is>
      </c>
      <c r="C364" s="6" t="inlineStr">
        <is>
          <t>R$ 600.000,00 x [100% B2B x (1 - e·s)(1 - e·(1-s)) + 0% B2C x (1 - e·(1-s)) / (1 + 8,80%)] + créditos</t>
        </is>
      </c>
      <c r="D364" s="7" t="n">
        <v>537566.303330304</v>
      </c>
      <c r="E364" s="6" t="inlineStr">
        <is>
          <t>LC 214/2025; LC 123/2006 (opção pelo regime regular de IBS/CBS)</t>
        </is>
      </c>
    </row>
    <row r="365">
      <c r="A365" s="5" t="inlineStr">
        <is>
          <t>SR2-2033</t>
        </is>
      </c>
      <c r="B365" s="6" t="inlineStr">
        <is>
          <t>Anexo III: alíquota efetiva do DAS</t>
        </is>
      </c>
      <c r="C365" s="6" t="inlineStr">
        <is>
          <t>RBT12 R$ 600.000,00</t>
        </is>
      </c>
      <c r="D365" s="7" t="n">
        <v>0.1056</v>
      </c>
      <c r="E365" s="6" t="inlineStr">
        <is>
          <t>LC 123/2006, art. 18, §1º e §1º-A</t>
        </is>
      </c>
    </row>
    <row r="366">
      <c r="A366" s="5" t="inlineStr">
        <is>
          <t>SR2-2033</t>
        </is>
      </c>
      <c r="B366" s="6" t="inlineStr">
        <is>
          <t>Alíquota da fatia do DAS substituída por IBS/CBS</t>
        </is>
      </c>
      <c r="C366" s="6" t="inlineStr">
        <is>
          <t>PIS 2,96% + COFINS 13,64% + ISS 32,50% = 49,10% do DAS</t>
        </is>
      </c>
      <c r="D366" s="19" t="n">
        <v>0.491</v>
      </c>
      <c r="E366" s="6" t="inlineStr">
        <is>
          <t>LC 123/2006, tabelas de partilha</t>
        </is>
      </c>
    </row>
    <row r="367">
      <c r="A367" s="5" t="inlineStr">
        <is>
          <t>SR2-2033</t>
        </is>
      </c>
      <c r="B367" s="6" t="inlineStr">
        <is>
          <t>Alíquota de IBS/CBS na venda (por fora)</t>
        </is>
      </c>
      <c r="C367" s="6" t="inlineStr">
        <is>
          <t>com redução setorial de 0%</t>
        </is>
      </c>
      <c r="D367" s="19" t="n">
        <v>0.265</v>
      </c>
      <c r="E367" s="6" t="inlineStr">
        <is>
          <t>LC 214/2025; LC 123/2006 (opção pelo regime regular de IBS/CBS)</t>
        </is>
      </c>
    </row>
    <row r="368">
      <c r="A368" s="5" t="inlineStr">
        <is>
          <t>SR2-2033</t>
        </is>
      </c>
      <c r="B368" s="6" t="inlineStr">
        <is>
          <t>Receita líquida — tudo no DAS</t>
        </is>
      </c>
      <c r="C368" s="6" t="inlineStr">
        <is>
          <t>R$ 600.000,00 x (1 - 10,56%)</t>
        </is>
      </c>
      <c r="D368" s="7" t="n">
        <v>536640</v>
      </c>
      <c r="E368" s="6" t="inlineStr">
        <is>
          <t>LC 214/2025; LC 123/2006 (opção pelo regime regular de IBS/CBS)</t>
        </is>
      </c>
    </row>
    <row r="369">
      <c r="A369" s="5" t="inlineStr">
        <is>
          <t>SR2-2033</t>
        </is>
      </c>
      <c r="B369" s="6" t="inlineStr">
        <is>
          <t>Crédito de IBS/CBS nas compras (só por fora)</t>
        </is>
      </c>
      <c r="C369" s="6" t="inlineStr">
        <is>
          <t>R$ 0,00 x 26,50%</t>
        </is>
      </c>
      <c r="D369" s="7" t="n">
        <v>0</v>
      </c>
      <c r="E369" s="6" t="inlineStr">
        <is>
          <t>LC 214/2025; LC 123/2006 (opção pelo regime regular de IBS/CBS)</t>
        </is>
      </c>
    </row>
    <row r="370">
      <c r="A370" s="5" t="inlineStr">
        <is>
          <t>SR2-2033</t>
        </is>
      </c>
      <c r="B370" s="6" t="inlineStr">
        <is>
          <t>Receita líquida — IBS/CBS por fora</t>
        </is>
      </c>
      <c r="C370" s="6" t="inlineStr">
        <is>
          <t>R$ 600.000,00 x [100% B2B x (1 - e·s)(1 - e·(1-s)) + 0% B2C x (1 - e·(1-s)) / (1 + 26,50%)] + créditos</t>
        </is>
      </c>
      <c r="D370" s="7" t="n">
        <v>538312.162043904</v>
      </c>
      <c r="E370" s="6" t="inlineStr">
        <is>
          <t>LC 214/2025; LC 123/2006 (opção pelo regime regular de IBS/CBS)</t>
        </is>
      </c>
    </row>
    <row r="371">
      <c r="A371" s="5" t="inlineStr">
        <is>
          <t>SR3-2027</t>
        </is>
      </c>
      <c r="B371" s="6" t="inlineStr">
        <is>
          <t>Anexo III: alíquota efetiva do DAS</t>
        </is>
      </c>
      <c r="C371" s="6" t="inlineStr">
        <is>
          <t>RBT12 R$ 1.200.000,00</t>
        </is>
      </c>
      <c r="D371" s="7" t="n">
        <v>0.1303</v>
      </c>
      <c r="E371" s="6" t="inlineStr">
        <is>
          <t>LC 123/2006, art. 18, §1º e §1º-A</t>
        </is>
      </c>
    </row>
    <row r="372">
      <c r="A372" s="5" t="inlineStr">
        <is>
          <t>SR3-2027</t>
        </is>
      </c>
      <c r="B372" s="6" t="inlineStr">
        <is>
          <t>Alíquota da fatia do DAS substituída por IBS/CBS</t>
        </is>
      </c>
      <c r="C372" s="6" t="inlineStr">
        <is>
          <t>PIS 2,96% + COFINS 13,64% = 16,60% do DAS</t>
        </is>
      </c>
      <c r="D372" s="19" t="n">
        <v>0.166</v>
      </c>
      <c r="E372" s="6" t="inlineStr">
        <is>
          <t>LC 123/2006, tabelas de partilha</t>
        </is>
      </c>
    </row>
    <row r="373">
      <c r="A373" s="5" t="inlineStr">
        <is>
          <t>SR3-2027</t>
        </is>
      </c>
      <c r="B373" s="6" t="inlineStr">
        <is>
          <t>Alíquota de IBS/CBS na venda (por fora)</t>
        </is>
      </c>
      <c r="C373" s="6" t="inlineStr">
        <is>
          <t>com redução setorial de 0%</t>
        </is>
      </c>
      <c r="D373" s="19" t="n">
        <v>0.08799999999999999</v>
      </c>
      <c r="E373" s="6" t="inlineStr">
        <is>
          <t>LC 214/2025; LC 123/2006 (opção pelo regime regular de IBS/CBS)</t>
        </is>
      </c>
    </row>
    <row r="374">
      <c r="A374" s="5" t="inlineStr">
        <is>
          <t>SR3-2027</t>
        </is>
      </c>
      <c r="B374" s="6" t="inlineStr">
        <is>
          <t>Receita líquida — tudo no DAS</t>
        </is>
      </c>
      <c r="C374" s="6" t="inlineStr">
        <is>
          <t>R$ 1.200.000,00 x (1 - 13,03%)</t>
        </is>
      </c>
      <c r="D374" s="7" t="n">
        <v>1043640</v>
      </c>
      <c r="E374" s="6" t="inlineStr">
        <is>
          <t>LC 214/2025; LC 123/2006 (opção pelo regime regular de IBS/CBS)</t>
        </is>
      </c>
    </row>
    <row r="375">
      <c r="A375" s="5" t="inlineStr">
        <is>
          <t>SR3-2027</t>
        </is>
      </c>
      <c r="B375" s="6" t="inlineStr">
        <is>
          <t>Crédito de IBS/CBS nas compras (só por fora)</t>
        </is>
      </c>
      <c r="C375" s="6" t="inlineStr">
        <is>
          <t>R$ 0,00 x 8,80%</t>
        </is>
      </c>
      <c r="D375" s="7" t="n">
        <v>0</v>
      </c>
      <c r="E375" s="6" t="inlineStr">
        <is>
          <t>LC 214/2025; LC 123/2006 (opção pelo regime regular de IBS/CBS)</t>
        </is>
      </c>
    </row>
    <row r="376">
      <c r="A376" s="5" t="inlineStr">
        <is>
          <t>SR3-2027</t>
        </is>
      </c>
      <c r="B376" s="6" t="inlineStr">
        <is>
          <t>Receita líquida — IBS/CBS por fora</t>
        </is>
      </c>
      <c r="C376" s="6" t="inlineStr">
        <is>
          <t>R$ 1.200.000,00 x [30% B2B x (1 - e·s)(1 - e·(1-s)) + 70% B2C x (1 - e·(1-s)) / (1 + 8,80%)] + créditos</t>
        </is>
      </c>
      <c r="D376" s="7" t="n">
        <v>1002097.222053812</v>
      </c>
      <c r="E376" s="6" t="inlineStr">
        <is>
          <t>LC 214/2025; LC 123/2006 (opção pelo regime regular de IBS/CBS)</t>
        </is>
      </c>
    </row>
    <row r="377">
      <c r="A377" s="5" t="inlineStr">
        <is>
          <t>SR3-2033</t>
        </is>
      </c>
      <c r="B377" s="6" t="inlineStr">
        <is>
          <t>Anexo III: alíquota efetiva do DAS</t>
        </is>
      </c>
      <c r="C377" s="6" t="inlineStr">
        <is>
          <t>RBT12 R$ 1.200.000,00</t>
        </is>
      </c>
      <c r="D377" s="7" t="n">
        <v>0.1303</v>
      </c>
      <c r="E377" s="6" t="inlineStr">
        <is>
          <t>LC 123/2006, art. 18, §1º e §1º-A</t>
        </is>
      </c>
    </row>
    <row r="378">
      <c r="A378" s="5" t="inlineStr">
        <is>
          <t>SR3-2033</t>
        </is>
      </c>
      <c r="B378" s="6" t="inlineStr">
        <is>
          <t>Alíquota da fatia do DAS substituída por IBS/CBS</t>
        </is>
      </c>
      <c r="C378" s="6" t="inlineStr">
        <is>
          <t>PIS 2,96% + COFINS 13,64% + ISS 32,50% = 49,10% do DAS</t>
        </is>
      </c>
      <c r="D378" s="19" t="n">
        <v>0.491</v>
      </c>
      <c r="E378" s="6" t="inlineStr">
        <is>
          <t>LC 123/2006, tabelas de partilha</t>
        </is>
      </c>
    </row>
    <row r="379">
      <c r="A379" s="5" t="inlineStr">
        <is>
          <t>SR3-2033</t>
        </is>
      </c>
      <c r="B379" s="6" t="inlineStr">
        <is>
          <t>Alíquota de IBS/CBS na venda (por fora)</t>
        </is>
      </c>
      <c r="C379" s="6" t="inlineStr">
        <is>
          <t>com redução setorial de 0%</t>
        </is>
      </c>
      <c r="D379" s="19" t="n">
        <v>0.265</v>
      </c>
      <c r="E379" s="6" t="inlineStr">
        <is>
          <t>LC 214/2025; LC 123/2006 (opção pelo regime regular de IBS/CBS)</t>
        </is>
      </c>
    </row>
    <row r="380">
      <c r="A380" s="5" t="inlineStr">
        <is>
          <t>SR3-2033</t>
        </is>
      </c>
      <c r="B380" s="6" t="inlineStr">
        <is>
          <t>Receita líquida — tudo no DAS</t>
        </is>
      </c>
      <c r="C380" s="6" t="inlineStr">
        <is>
          <t>R$ 1.200.000,00 x (1 - 13,03%)</t>
        </is>
      </c>
      <c r="D380" s="7" t="n">
        <v>1043640</v>
      </c>
      <c r="E380" s="6" t="inlineStr">
        <is>
          <t>LC 214/2025; LC 123/2006 (opção pelo regime regular de IBS/CBS)</t>
        </is>
      </c>
    </row>
    <row r="381">
      <c r="A381" s="5" t="inlineStr">
        <is>
          <t>SR3-2033</t>
        </is>
      </c>
      <c r="B381" s="6" t="inlineStr">
        <is>
          <t>Crédito de IBS/CBS nas compras (só por fora)</t>
        </is>
      </c>
      <c r="C381" s="6" t="inlineStr">
        <is>
          <t>R$ 0,00 x 26,50%</t>
        </is>
      </c>
      <c r="D381" s="7" t="n">
        <v>0</v>
      </c>
      <c r="E381" s="6" t="inlineStr">
        <is>
          <t>LC 214/2025; LC 123/2006 (opção pelo regime regular de IBS/CBS)</t>
        </is>
      </c>
    </row>
    <row r="382">
      <c r="A382" s="5" t="inlineStr">
        <is>
          <t>SR3-2033</t>
        </is>
      </c>
      <c r="B382" s="6" t="inlineStr">
        <is>
          <t>Receita líquida — IBS/CBS por fora</t>
        </is>
      </c>
      <c r="C382" s="6" t="inlineStr">
        <is>
          <t>R$ 1.200.000,00 x [30% B2B x (1 - e·s)(1 - e·(1-s)) + 70% B2C x (1 - e·(1-s)) / (1 + 26,50%)] + créditos</t>
        </is>
      </c>
      <c r="D382" s="7" t="n">
        <v>934610.783611781</v>
      </c>
      <c r="E382" s="6" t="inlineStr">
        <is>
          <t>LC 214/2025; LC 123/2006 (opção pelo regime regular de IBS/CBS)</t>
        </is>
      </c>
    </row>
    <row r="383">
      <c r="A383" s="5" t="inlineStr">
        <is>
          <t>AU1-PF</t>
        </is>
      </c>
      <c r="B383" s="6" t="inlineStr">
        <is>
          <t>INSS contribuinte individual</t>
        </is>
      </c>
      <c r="C383" s="6" t="inlineStr">
        <is>
          <t>20% x mín(R$ 6.000,00; teto R$ 8.475,55)</t>
        </is>
      </c>
      <c r="D383" s="7" t="n">
        <v>1200</v>
      </c>
      <c r="E383" s="6" t="inlineStr">
        <is>
          <t>Lei 8.212/1991, art. 21</t>
        </is>
      </c>
    </row>
    <row r="384">
      <c r="A384" s="5" t="inlineStr">
        <is>
          <t>AU1-PF</t>
        </is>
      </c>
      <c r="B384" s="6" t="inlineStr">
        <is>
          <t>Dedução aplicada</t>
        </is>
      </c>
      <c r="C384" s="6" t="inlineStr">
        <is>
          <t>maior entre deduções legais R$ 1.200,00 e desconto simplificado R$ 607,20</t>
        </is>
      </c>
      <c r="D384" s="7" t="n">
        <v>1200</v>
      </c>
      <c r="E384" s="6" t="inlineStr">
        <is>
          <t>Lei 9.250/1995, art. 4º; Lei 15.191/2025</t>
        </is>
      </c>
    </row>
    <row r="385">
      <c r="A385" s="5" t="inlineStr">
        <is>
          <t>AU1-PF</t>
        </is>
      </c>
      <c r="B385" s="6" t="inlineStr">
        <is>
          <t>Base de cálculo</t>
        </is>
      </c>
      <c r="C385" s="6" t="inlineStr">
        <is>
          <t>R$ 6.000,00 - R$ 1.200,00</t>
        </is>
      </c>
      <c r="D385" s="7" t="n">
        <v>4800</v>
      </c>
      <c r="E385" s="6" t="inlineStr"/>
    </row>
    <row r="386">
      <c r="A386" s="5" t="inlineStr">
        <is>
          <t>AU1-PF</t>
        </is>
      </c>
      <c r="B386" s="6" t="inlineStr">
        <is>
          <t>Imposto pela tabela progressiva</t>
        </is>
      </c>
      <c r="C386" s="6" t="inlineStr">
        <is>
          <t>R$ 4.800,00 x 27,5% - R$ 908,73</t>
        </is>
      </c>
      <c r="D386" s="7" t="n">
        <v>411.27</v>
      </c>
      <c r="E386" s="6" t="inlineStr">
        <is>
          <t>Lei 15.191/2025 (tabela) + Lei 15.270/2025 (redução)</t>
        </is>
      </c>
    </row>
    <row r="387">
      <c r="A387" s="5" t="inlineStr">
        <is>
          <t>AU1-PF</t>
        </is>
      </c>
      <c r="B387" s="6" t="inlineStr">
        <is>
          <t>Redução Lei 15.270/2025</t>
        </is>
      </c>
      <c r="C387" s="6" t="inlineStr">
        <is>
          <t>R$ 978,62 - 0.133145 x R$ 6.000,00</t>
        </is>
      </c>
      <c r="D387" s="7" t="n">
        <v>179.75</v>
      </c>
      <c r="E387" s="6" t="inlineStr">
        <is>
          <t>Lei 15.270/2025</t>
        </is>
      </c>
    </row>
    <row r="388">
      <c r="A388" s="5" t="inlineStr">
        <is>
          <t>AU1-MEI</t>
        </is>
      </c>
      <c r="B388" s="6" t="inlineStr">
        <is>
          <t>INSS do MEI</t>
        </is>
      </c>
      <c r="C388" s="6" t="inlineStr">
        <is>
          <t>5% x salário mínimo R$ 1.621,00</t>
        </is>
      </c>
      <c r="D388" s="7" t="n">
        <v>81.05</v>
      </c>
      <c r="E388" s="6" t="inlineStr">
        <is>
          <t>LC 123/2006, art. 18-A</t>
        </is>
      </c>
    </row>
    <row r="389">
      <c r="A389" s="5" t="inlineStr">
        <is>
          <t>AU1-MEI</t>
        </is>
      </c>
      <c r="B389" s="6" t="inlineStr">
        <is>
          <t>ISS fixo</t>
        </is>
      </c>
      <c r="C389" s="6" t="inlineStr">
        <is>
          <t>valor fixo mensal</t>
        </is>
      </c>
      <c r="D389" s="7" t="n">
        <v>5</v>
      </c>
      <c r="E389" s="6" t="inlineStr">
        <is>
          <t>LC 123/2006, art. 18-A, §3º</t>
        </is>
      </c>
    </row>
    <row r="390">
      <c r="A390" s="5" t="inlineStr">
        <is>
          <t>AU1-SN</t>
        </is>
      </c>
      <c r="B390" s="6" t="inlineStr">
        <is>
          <t>Fator R (folha 12 meses / RBT12)</t>
        </is>
      </c>
      <c r="C390" s="6" t="inlineStr">
        <is>
          <t>R$ 20.160,12 (salários + pró-labore + FGTS 8%) / R$ 72.000,00 = 28,00% -&gt; Anexo III</t>
        </is>
      </c>
      <c r="D390" s="19" t="n">
        <v>0.2800016666666666</v>
      </c>
      <c r="E390" s="6" t="inlineStr">
        <is>
          <t>LC 123/2006, art. 18, §5º-J, §5º-M e §24</t>
        </is>
      </c>
    </row>
    <row r="391">
      <c r="A391" s="5" t="inlineStr">
        <is>
          <t>AU1-SN</t>
        </is>
      </c>
      <c r="B391" s="6" t="inlineStr">
        <is>
          <t>Alíquota efetiva - Anexo III, 1ª faixa</t>
        </is>
      </c>
      <c r="C391" s="6" t="inlineStr">
        <is>
          <t>(R$ 72.000,00 x 6,00% - R$ 0,00) / R$ 72.000,00 = 6,0000%</t>
        </is>
      </c>
      <c r="D391" s="19" t="n">
        <v>0.06</v>
      </c>
      <c r="E391" s="6" t="inlineStr">
        <is>
          <t>LC 123/2006, art. 18, §1º e §1º-A</t>
        </is>
      </c>
    </row>
    <row r="392">
      <c r="A392" s="5" t="inlineStr">
        <is>
          <t>AU1-SN</t>
        </is>
      </c>
      <c r="B392" s="6" t="inlineStr">
        <is>
          <t>DAS anual</t>
        </is>
      </c>
      <c r="C392" s="6" t="inlineStr">
        <is>
          <t>R$ 72.000,00 x 6,0000%</t>
        </is>
      </c>
      <c r="D392" s="7" t="n">
        <v>4320</v>
      </c>
      <c r="E392" s="6" t="inlineStr">
        <is>
          <t>LC 123/2006, art. 13</t>
        </is>
      </c>
    </row>
    <row r="393">
      <c r="A393" s="5" t="inlineStr">
        <is>
          <t>AU1-SN</t>
        </is>
      </c>
      <c r="B393" s="6" t="inlineStr">
        <is>
          <t>DAS mensal</t>
        </is>
      </c>
      <c r="C393" s="6" t="inlineStr">
        <is>
          <t>R$ 4.320,00 / 12</t>
        </is>
      </c>
      <c r="D393" s="7" t="n">
        <v>360</v>
      </c>
      <c r="E393" s="6" t="inlineStr"/>
    </row>
    <row r="394">
      <c r="A394" s="5" t="inlineStr">
        <is>
          <t>AU1-SN</t>
        </is>
      </c>
      <c r="B394" s="6" t="inlineStr">
        <is>
          <t>INSS do sócio</t>
        </is>
      </c>
      <c r="C394" s="6" t="inlineStr">
        <is>
          <t>R$ 1.680,01 x 11%</t>
        </is>
      </c>
      <c r="D394" s="7" t="n">
        <v>184.8</v>
      </c>
      <c r="E394" s="6" t="inlineStr">
        <is>
          <t>Lei 8.212/1991, art. 21</t>
        </is>
      </c>
    </row>
    <row r="395">
      <c r="A395" s="5" t="inlineStr">
        <is>
          <t>AU1-LP</t>
        </is>
      </c>
      <c r="B395" s="6" t="inlineStr">
        <is>
          <t>Percentuais de presunção</t>
        </is>
      </c>
      <c r="C395" s="6" t="inlineStr">
        <is>
          <t>Prestação de serviços em geral: IRPJ 32,0%, CSLL 32,0%</t>
        </is>
      </c>
      <c r="D395" s="19" t="n">
        <v>0.32</v>
      </c>
      <c r="E395" s="6" t="inlineStr">
        <is>
          <t>Lei 9.249/1995, art. 15, §1º e art. 20</t>
        </is>
      </c>
    </row>
    <row r="396">
      <c r="A396" s="5" t="inlineStr">
        <is>
          <t>AU1-LP</t>
        </is>
      </c>
      <c r="B396" s="6" t="inlineStr">
        <is>
          <t>1º tri - base presumida IRPJ</t>
        </is>
      </c>
      <c r="C396" s="6" t="inlineStr">
        <is>
          <t>R$ 18.000,00 x 32,0%</t>
        </is>
      </c>
      <c r="D396" s="7" t="n">
        <v>5760</v>
      </c>
      <c r="E396" s="6" t="inlineStr">
        <is>
          <t>Lei 9.249/1995, arts. 15 e 20</t>
        </is>
      </c>
    </row>
    <row r="397">
      <c r="A397" s="5" t="inlineStr">
        <is>
          <t>AU1-LP</t>
        </is>
      </c>
      <c r="B397" s="6" t="inlineStr">
        <is>
          <t>1º tri - IRPJ</t>
        </is>
      </c>
      <c r="C397" s="6" t="inlineStr">
        <is>
          <t>R$ 5.760,00 x 15% + adicional 10% sobre o que exceder R$ 60.000,00</t>
        </is>
      </c>
      <c r="D397" s="7" t="n">
        <v>864</v>
      </c>
      <c r="E397" s="6" t="inlineStr">
        <is>
          <t>Lei 9.430/1996, arts. 3º e 4º</t>
        </is>
      </c>
    </row>
    <row r="398">
      <c r="A398" s="5" t="inlineStr">
        <is>
          <t>AU1-LP</t>
        </is>
      </c>
      <c r="B398" s="6" t="inlineStr">
        <is>
          <t>1º tri - base presumida CSLL</t>
        </is>
      </c>
      <c r="C398" s="6" t="inlineStr">
        <is>
          <t>R$ 18.000,00 x 32,0%</t>
        </is>
      </c>
      <c r="D398" s="7" t="n">
        <v>5760</v>
      </c>
      <c r="E398" s="6" t="inlineStr">
        <is>
          <t>Lei 9.249/1995, arts. 15 e 20</t>
        </is>
      </c>
    </row>
    <row r="399">
      <c r="A399" s="5" t="inlineStr">
        <is>
          <t>AU1-LP</t>
        </is>
      </c>
      <c r="B399" s="6" t="inlineStr">
        <is>
          <t>1º tri - CSLL</t>
        </is>
      </c>
      <c r="C399" s="6" t="inlineStr">
        <is>
          <t>R$ 5.760,00 x 9%</t>
        </is>
      </c>
      <c r="D399" s="7" t="n">
        <v>518.4</v>
      </c>
      <c r="E399" s="6" t="inlineStr">
        <is>
          <t>Lei 7.689/1988, art. 3º</t>
        </is>
      </c>
    </row>
    <row r="400">
      <c r="A400" s="5" t="inlineStr">
        <is>
          <t>AU1-LP</t>
        </is>
      </c>
      <c r="B400" s="6" t="inlineStr">
        <is>
          <t>2º tri - base presumida IRPJ</t>
        </is>
      </c>
      <c r="C400" s="6" t="inlineStr">
        <is>
          <t>R$ 18.000,00 x 32,0%</t>
        </is>
      </c>
      <c r="D400" s="7" t="n">
        <v>5760</v>
      </c>
      <c r="E400" s="6" t="inlineStr">
        <is>
          <t>Lei 9.249/1995, arts. 15 e 20</t>
        </is>
      </c>
    </row>
    <row r="401">
      <c r="A401" s="5" t="inlineStr">
        <is>
          <t>AU1-LP</t>
        </is>
      </c>
      <c r="B401" s="6" t="inlineStr">
        <is>
          <t>2º tri - IRPJ</t>
        </is>
      </c>
      <c r="C401" s="6" t="inlineStr">
        <is>
          <t>R$ 5.760,00 x 15% + adicional 10% sobre o que exceder R$ 60.000,00</t>
        </is>
      </c>
      <c r="D401" s="7" t="n">
        <v>864</v>
      </c>
      <c r="E401" s="6" t="inlineStr">
        <is>
          <t>Lei 9.430/1996, arts. 3º e 4º</t>
        </is>
      </c>
    </row>
    <row r="402">
      <c r="A402" s="5" t="inlineStr">
        <is>
          <t>AU1-LP</t>
        </is>
      </c>
      <c r="B402" s="6" t="inlineStr">
        <is>
          <t>2º tri - base presumida CSLL</t>
        </is>
      </c>
      <c r="C402" s="6" t="inlineStr">
        <is>
          <t>R$ 18.000,00 x 32,0%</t>
        </is>
      </c>
      <c r="D402" s="7" t="n">
        <v>5760</v>
      </c>
      <c r="E402" s="6" t="inlineStr">
        <is>
          <t>Lei 9.249/1995, arts. 15 e 20</t>
        </is>
      </c>
    </row>
    <row r="403">
      <c r="A403" s="5" t="inlineStr">
        <is>
          <t>AU1-LP</t>
        </is>
      </c>
      <c r="B403" s="6" t="inlineStr">
        <is>
          <t>2º tri - CSLL</t>
        </is>
      </c>
      <c r="C403" s="6" t="inlineStr">
        <is>
          <t>R$ 5.760,00 x 9%</t>
        </is>
      </c>
      <c r="D403" s="7" t="n">
        <v>518.4</v>
      </c>
      <c r="E403" s="6" t="inlineStr">
        <is>
          <t>Lei 7.689/1988, art. 3º</t>
        </is>
      </c>
    </row>
    <row r="404">
      <c r="A404" s="5" t="inlineStr">
        <is>
          <t>AU1-LP</t>
        </is>
      </c>
      <c r="B404" s="6" t="inlineStr">
        <is>
          <t>3º tri - base presumida IRPJ</t>
        </is>
      </c>
      <c r="C404" s="6" t="inlineStr">
        <is>
          <t>R$ 18.000,00 x 32,0%</t>
        </is>
      </c>
      <c r="D404" s="7" t="n">
        <v>5760</v>
      </c>
      <c r="E404" s="6" t="inlineStr">
        <is>
          <t>Lei 9.249/1995, arts. 15 e 20</t>
        </is>
      </c>
    </row>
    <row r="405">
      <c r="A405" s="5" t="inlineStr">
        <is>
          <t>AU1-LP</t>
        </is>
      </c>
      <c r="B405" s="6" t="inlineStr">
        <is>
          <t>3º tri - IRPJ</t>
        </is>
      </c>
      <c r="C405" s="6" t="inlineStr">
        <is>
          <t>R$ 5.760,00 x 15% + adicional 10% sobre o que exceder R$ 60.000,00</t>
        </is>
      </c>
      <c r="D405" s="7" t="n">
        <v>864</v>
      </c>
      <c r="E405" s="6" t="inlineStr">
        <is>
          <t>Lei 9.430/1996, arts. 3º e 4º</t>
        </is>
      </c>
    </row>
    <row r="406">
      <c r="A406" s="5" t="inlineStr">
        <is>
          <t>AU1-LP</t>
        </is>
      </c>
      <c r="B406" s="6" t="inlineStr">
        <is>
          <t>3º tri - base presumida CSLL</t>
        </is>
      </c>
      <c r="C406" s="6" t="inlineStr">
        <is>
          <t>R$ 18.000,00 x 32,0%</t>
        </is>
      </c>
      <c r="D406" s="7" t="n">
        <v>5760</v>
      </c>
      <c r="E406" s="6" t="inlineStr">
        <is>
          <t>Lei 9.249/1995, arts. 15 e 20</t>
        </is>
      </c>
    </row>
    <row r="407">
      <c r="A407" s="5" t="inlineStr">
        <is>
          <t>AU1-LP</t>
        </is>
      </c>
      <c r="B407" s="6" t="inlineStr">
        <is>
          <t>3º tri - CSLL</t>
        </is>
      </c>
      <c r="C407" s="6" t="inlineStr">
        <is>
          <t>R$ 5.760,00 x 9%</t>
        </is>
      </c>
      <c r="D407" s="7" t="n">
        <v>518.4</v>
      </c>
      <c r="E407" s="6" t="inlineStr">
        <is>
          <t>Lei 7.689/1988, art. 3º</t>
        </is>
      </c>
    </row>
    <row r="408">
      <c r="A408" s="5" t="inlineStr">
        <is>
          <t>AU1-LP</t>
        </is>
      </c>
      <c r="B408" s="6" t="inlineStr">
        <is>
          <t>4º tri - base presumida IRPJ</t>
        </is>
      </c>
      <c r="C408" s="6" t="inlineStr">
        <is>
          <t>R$ 18.000,00 x 32,0%</t>
        </is>
      </c>
      <c r="D408" s="7" t="n">
        <v>5760</v>
      </c>
      <c r="E408" s="6" t="inlineStr">
        <is>
          <t>Lei 9.249/1995, arts. 15 e 20</t>
        </is>
      </c>
    </row>
    <row r="409">
      <c r="A409" s="5" t="inlineStr">
        <is>
          <t>AU1-LP</t>
        </is>
      </c>
      <c r="B409" s="6" t="inlineStr">
        <is>
          <t>4º tri - IRPJ</t>
        </is>
      </c>
      <c r="C409" s="6" t="inlineStr">
        <is>
          <t>R$ 5.760,00 x 15% + adicional 10% sobre o que exceder R$ 60.000,00</t>
        </is>
      </c>
      <c r="D409" s="7" t="n">
        <v>864</v>
      </c>
      <c r="E409" s="6" t="inlineStr">
        <is>
          <t>Lei 9.430/1996, arts. 3º e 4º</t>
        </is>
      </c>
    </row>
    <row r="410">
      <c r="A410" s="5" t="inlineStr">
        <is>
          <t>AU1-LP</t>
        </is>
      </c>
      <c r="B410" s="6" t="inlineStr">
        <is>
          <t>4º tri - base presumida CSLL</t>
        </is>
      </c>
      <c r="C410" s="6" t="inlineStr">
        <is>
          <t>R$ 18.000,00 x 32,0%</t>
        </is>
      </c>
      <c r="D410" s="7" t="n">
        <v>5760</v>
      </c>
      <c r="E410" s="6" t="inlineStr">
        <is>
          <t>Lei 9.249/1995, arts. 15 e 20</t>
        </is>
      </c>
    </row>
    <row r="411">
      <c r="A411" s="5" t="inlineStr">
        <is>
          <t>AU1-LP</t>
        </is>
      </c>
      <c r="B411" s="6" t="inlineStr">
        <is>
          <t>4º tri - CSLL</t>
        </is>
      </c>
      <c r="C411" s="6" t="inlineStr">
        <is>
          <t>R$ 5.760,00 x 9%</t>
        </is>
      </c>
      <c r="D411" s="7" t="n">
        <v>518.4</v>
      </c>
      <c r="E411" s="6" t="inlineStr">
        <is>
          <t>Lei 7.689/1988, art. 3º</t>
        </is>
      </c>
    </row>
    <row r="412">
      <c r="A412" s="5" t="inlineStr">
        <is>
          <t>AU1-LP</t>
        </is>
      </c>
      <c r="B412" s="6" t="inlineStr">
        <is>
          <t>PIS cumulativo</t>
        </is>
      </c>
      <c r="C412" s="6" t="inlineStr">
        <is>
          <t>R$ 72.000,00 x 0,65%</t>
        </is>
      </c>
      <c r="D412" s="7" t="n">
        <v>468</v>
      </c>
      <c r="E412" s="6" t="inlineStr">
        <is>
          <t>Lei 9.715/1998</t>
        </is>
      </c>
    </row>
    <row r="413">
      <c r="A413" s="5" t="inlineStr">
        <is>
          <t>AU1-LP</t>
        </is>
      </c>
      <c r="B413" s="6" t="inlineStr">
        <is>
          <t>Cofins cumulativa</t>
        </is>
      </c>
      <c r="C413" s="6" t="inlineStr">
        <is>
          <t>R$ 72.000,00 x 3,00%</t>
        </is>
      </c>
      <c r="D413" s="7" t="n">
        <v>2160</v>
      </c>
      <c r="E413" s="6" t="inlineStr">
        <is>
          <t>Lei 9.718/1998</t>
        </is>
      </c>
    </row>
    <row r="414">
      <c r="A414" s="5" t="inlineStr">
        <is>
          <t>AU1-LP</t>
        </is>
      </c>
      <c r="B414" s="6" t="inlineStr">
        <is>
          <t>ISS</t>
        </is>
      </c>
      <c r="C414" s="6" t="inlineStr">
        <is>
          <t>R$ 72.000,00 x 5,00%</t>
        </is>
      </c>
      <c r="D414" s="7" t="n">
        <v>3600</v>
      </c>
      <c r="E414" s="6" t="inlineStr">
        <is>
          <t>LC 116/2003 e lei municipal</t>
        </is>
      </c>
    </row>
    <row r="415">
      <c r="A415" s="5" t="inlineStr">
        <is>
          <t>AU1-LP</t>
        </is>
      </c>
      <c r="B415" s="6" t="inlineStr">
        <is>
          <t>INSS patronal sobre a folha CLT</t>
        </is>
      </c>
      <c r="C415" s="6" t="inlineStr">
        <is>
          <t>R$ 0,00 x (20,00% CPP + 2,00% RAT + 5,80% terceiros)</t>
        </is>
      </c>
      <c r="D415" s="7" t="n">
        <v>0</v>
      </c>
      <c r="E415" s="6" t="inlineStr">
        <is>
          <t>Lei 8.212/1991, art. 22, I e II</t>
        </is>
      </c>
    </row>
    <row r="416">
      <c r="A416" s="5" t="inlineStr">
        <is>
          <t>AU1-LP</t>
        </is>
      </c>
      <c r="B416" s="6" t="inlineStr">
        <is>
          <t>INSS patronal sobre o pró-labore</t>
        </is>
      </c>
      <c r="C416" s="6" t="inlineStr">
        <is>
          <t>R$ 19.452,00 x 20,00%</t>
        </is>
      </c>
      <c r="D416" s="7" t="n">
        <v>3890.4</v>
      </c>
      <c r="E416" s="6" t="inlineStr">
        <is>
          <t>Lei 8.212/1991, art. 22, III</t>
        </is>
      </c>
    </row>
    <row r="417">
      <c r="A417" s="5" t="inlineStr">
        <is>
          <t>AU1-LP</t>
        </is>
      </c>
      <c r="B417" s="6" t="inlineStr">
        <is>
          <t>IRPJ mensal</t>
        </is>
      </c>
      <c r="C417" s="6" t="inlineStr">
        <is>
          <t>R$ 3.456,00 / 12</t>
        </is>
      </c>
      <c r="D417" s="7" t="n">
        <v>288</v>
      </c>
      <c r="E417" s="6" t="inlineStr"/>
    </row>
    <row r="418">
      <c r="A418" s="5" t="inlineStr">
        <is>
          <t>AU1-LP</t>
        </is>
      </c>
      <c r="B418" s="6" t="inlineStr">
        <is>
          <t>CSLL mensal</t>
        </is>
      </c>
      <c r="C418" s="6" t="inlineStr">
        <is>
          <t>R$ 2.073,60 / 12</t>
        </is>
      </c>
      <c r="D418" s="7" t="n">
        <v>172.8</v>
      </c>
      <c r="E418" s="6" t="inlineStr"/>
    </row>
    <row r="419">
      <c r="A419" s="5" t="inlineStr">
        <is>
          <t>AU1-LP</t>
        </is>
      </c>
      <c r="B419" s="6" t="inlineStr">
        <is>
          <t>PIS mensal</t>
        </is>
      </c>
      <c r="C419" s="6" t="inlineStr">
        <is>
          <t>R$ 468,00 / 12</t>
        </is>
      </c>
      <c r="D419" s="7" t="n">
        <v>39</v>
      </c>
      <c r="E419" s="6" t="inlineStr"/>
    </row>
    <row r="420">
      <c r="A420" s="5" t="inlineStr">
        <is>
          <t>AU1-LP</t>
        </is>
      </c>
      <c r="B420" s="6" t="inlineStr">
        <is>
          <t>Cofins mensal</t>
        </is>
      </c>
      <c r="C420" s="6" t="inlineStr">
        <is>
          <t>R$ 2.160,00 / 12</t>
        </is>
      </c>
      <c r="D420" s="7" t="n">
        <v>180</v>
      </c>
      <c r="E420" s="6" t="inlineStr"/>
    </row>
    <row r="421">
      <c r="A421" s="5" t="inlineStr">
        <is>
          <t>AU1-LP</t>
        </is>
      </c>
      <c r="B421" s="6" t="inlineStr">
        <is>
          <t>ISS mensal</t>
        </is>
      </c>
      <c r="C421" s="6" t="inlineStr">
        <is>
          <t>R$ 3.600,00 / 12</t>
        </is>
      </c>
      <c r="D421" s="7" t="n">
        <v>300</v>
      </c>
      <c r="E421" s="6" t="inlineStr"/>
    </row>
    <row r="422">
      <c r="A422" s="5" t="inlineStr">
        <is>
          <t>AU1-LP</t>
        </is>
      </c>
      <c r="B422" s="6" t="inlineStr">
        <is>
          <t>INSS patronal mensal</t>
        </is>
      </c>
      <c r="C422" s="6" t="inlineStr">
        <is>
          <t>R$ 3.890,40 / 12</t>
        </is>
      </c>
      <c r="D422" s="7" t="n">
        <v>324.2</v>
      </c>
      <c r="E422" s="6" t="inlineStr"/>
    </row>
    <row r="423">
      <c r="A423" s="5" t="inlineStr">
        <is>
          <t>AU1-LP</t>
        </is>
      </c>
      <c r="B423" s="6" t="inlineStr">
        <is>
          <t>INSS do sócio</t>
        </is>
      </c>
      <c r="C423" s="6" t="inlineStr">
        <is>
          <t>R$ 1.621,00 x 11%</t>
        </is>
      </c>
      <c r="D423" s="7" t="n">
        <v>178.31</v>
      </c>
      <c r="E423" s="6" t="inlineStr">
        <is>
          <t>Lei 8.212/1991, art. 21</t>
        </is>
      </c>
    </row>
    <row r="424">
      <c r="A424" s="5" t="inlineStr">
        <is>
          <t>AU2-PF</t>
        </is>
      </c>
      <c r="B424" s="6" t="inlineStr">
        <is>
          <t>INSS contribuinte individual</t>
        </is>
      </c>
      <c r="C424" s="6" t="inlineStr">
        <is>
          <t>20% x mín(R$ 15.000,00; teto R$ 8.475,55)</t>
        </is>
      </c>
      <c r="D424" s="7" t="n">
        <v>1695.11</v>
      </c>
      <c r="E424" s="6" t="inlineStr">
        <is>
          <t>Lei 8.212/1991, art. 21</t>
        </is>
      </c>
    </row>
    <row r="425">
      <c r="A425" s="5" t="inlineStr">
        <is>
          <t>AU2-PF</t>
        </is>
      </c>
      <c r="B425" s="6" t="inlineStr">
        <is>
          <t>Dedução aplicada</t>
        </is>
      </c>
      <c r="C425" s="6" t="inlineStr">
        <is>
          <t>maior entre deduções legais R$ 2.695,11 e desconto simplificado R$ 607,20</t>
        </is>
      </c>
      <c r="D425" s="7" t="n">
        <v>2695.11</v>
      </c>
      <c r="E425" s="6" t="inlineStr">
        <is>
          <t>Lei 9.250/1995, art. 4º; Lei 15.191/2025</t>
        </is>
      </c>
    </row>
    <row r="426">
      <c r="A426" s="5" t="inlineStr">
        <is>
          <t>AU2-PF</t>
        </is>
      </c>
      <c r="B426" s="6" t="inlineStr">
        <is>
          <t>Base de cálculo</t>
        </is>
      </c>
      <c r="C426" s="6" t="inlineStr">
        <is>
          <t>R$ 15.000,00 - R$ 2.695,11</t>
        </is>
      </c>
      <c r="D426" s="7" t="n">
        <v>12304.89</v>
      </c>
      <c r="E426" s="6" t="inlineStr"/>
    </row>
    <row r="427">
      <c r="A427" s="5" t="inlineStr">
        <is>
          <t>AU2-PF</t>
        </is>
      </c>
      <c r="B427" s="6" t="inlineStr">
        <is>
          <t>Imposto pela tabela progressiva</t>
        </is>
      </c>
      <c r="C427" s="6" t="inlineStr">
        <is>
          <t>R$ 12.304,89 x 27,5% - R$ 908,73</t>
        </is>
      </c>
      <c r="D427" s="7" t="n">
        <v>2475.11475</v>
      </c>
      <c r="E427" s="6" t="inlineStr">
        <is>
          <t>Lei 15.191/2025 (tabela) + Lei 15.270/2025 (redução)</t>
        </is>
      </c>
    </row>
    <row r="428">
      <c r="A428" s="5" t="inlineStr">
        <is>
          <t>AU2-PF</t>
        </is>
      </c>
      <c r="B428" s="6" t="inlineStr">
        <is>
          <t>Redução Lei 15.270/2025</t>
        </is>
      </c>
      <c r="C428" s="6" t="inlineStr">
        <is>
          <t>rendimentos acima de R$ 7.350,00: sem redução</t>
        </is>
      </c>
      <c r="D428" s="7" t="n">
        <v>0</v>
      </c>
      <c r="E428" s="6" t="inlineStr">
        <is>
          <t>Lei 15.270/2025</t>
        </is>
      </c>
    </row>
    <row r="429">
      <c r="A429" s="5" t="inlineStr">
        <is>
          <t>AU2-SN</t>
        </is>
      </c>
      <c r="B429" s="6" t="inlineStr">
        <is>
          <t>Fator R (folha 12 meses / RBT12)</t>
        </is>
      </c>
      <c r="C429" s="6" t="inlineStr">
        <is>
          <t>R$ 50.400,12 (salários + pró-labore + FGTS 8%) / R$ 180.000,00 = 28,00% -&gt; Anexo III</t>
        </is>
      </c>
      <c r="D429" s="19" t="n">
        <v>0.2800006666666667</v>
      </c>
      <c r="E429" s="6" t="inlineStr">
        <is>
          <t>LC 123/2006, art. 18, §5º-J, §5º-M e §24</t>
        </is>
      </c>
    </row>
    <row r="430">
      <c r="A430" s="5" t="inlineStr">
        <is>
          <t>AU2-SN</t>
        </is>
      </c>
      <c r="B430" s="6" t="inlineStr">
        <is>
          <t>Alíquota efetiva - Anexo III, 1ª faixa</t>
        </is>
      </c>
      <c r="C430" s="6" t="inlineStr">
        <is>
          <t>(R$ 180.000,00 x 6,00% - R$ 0,00) / R$ 180.000,00 = 6,0000%</t>
        </is>
      </c>
      <c r="D430" s="19" t="n">
        <v>0.06</v>
      </c>
      <c r="E430" s="6" t="inlineStr">
        <is>
          <t>LC 123/2006, art. 18, §1º e §1º-A</t>
        </is>
      </c>
    </row>
    <row r="431">
      <c r="A431" s="5" t="inlineStr">
        <is>
          <t>AU2-SN</t>
        </is>
      </c>
      <c r="B431" s="6" t="inlineStr">
        <is>
          <t>DAS anual</t>
        </is>
      </c>
      <c r="C431" s="6" t="inlineStr">
        <is>
          <t>R$ 180.000,00 x 6,0000%</t>
        </is>
      </c>
      <c r="D431" s="7" t="n">
        <v>10800</v>
      </c>
      <c r="E431" s="6" t="inlineStr">
        <is>
          <t>LC 123/2006, art. 13</t>
        </is>
      </c>
    </row>
    <row r="432">
      <c r="A432" s="5" t="inlineStr">
        <is>
          <t>AU2-SN</t>
        </is>
      </c>
      <c r="B432" s="6" t="inlineStr">
        <is>
          <t>DAS mensal</t>
        </is>
      </c>
      <c r="C432" s="6" t="inlineStr">
        <is>
          <t>R$ 10.800,00 / 12</t>
        </is>
      </c>
      <c r="D432" s="7" t="n">
        <v>900</v>
      </c>
      <c r="E432" s="6" t="inlineStr"/>
    </row>
    <row r="433">
      <c r="A433" s="5" t="inlineStr">
        <is>
          <t>AU2-SN</t>
        </is>
      </c>
      <c r="B433" s="6" t="inlineStr">
        <is>
          <t>INSS do sócio</t>
        </is>
      </c>
      <c r="C433" s="6" t="inlineStr">
        <is>
          <t>R$ 4.200,01 x 11%</t>
        </is>
      </c>
      <c r="D433" s="7" t="n">
        <v>462</v>
      </c>
      <c r="E433" s="6" t="inlineStr">
        <is>
          <t>Lei 8.212/1991, art. 21</t>
        </is>
      </c>
    </row>
    <row r="434">
      <c r="A434" s="5" t="inlineStr">
        <is>
          <t>AU2-LP</t>
        </is>
      </c>
      <c r="B434" s="6" t="inlineStr">
        <is>
          <t>Percentuais de presunção</t>
        </is>
      </c>
      <c r="C434" s="6" t="inlineStr">
        <is>
          <t>Prestação de serviços em geral: IRPJ 32,0%, CSLL 32,0%</t>
        </is>
      </c>
      <c r="D434" s="19" t="n">
        <v>0.32</v>
      </c>
      <c r="E434" s="6" t="inlineStr">
        <is>
          <t>Lei 9.249/1995, art. 15, §1º e art. 20</t>
        </is>
      </c>
    </row>
    <row r="435">
      <c r="A435" s="5" t="inlineStr">
        <is>
          <t>AU2-LP</t>
        </is>
      </c>
      <c r="B435" s="6" t="inlineStr">
        <is>
          <t>1º tri - base presumida IRPJ</t>
        </is>
      </c>
      <c r="C435" s="6" t="inlineStr">
        <is>
          <t>R$ 45.000,00 x 32,0%</t>
        </is>
      </c>
      <c r="D435" s="7" t="n">
        <v>14400</v>
      </c>
      <c r="E435" s="6" t="inlineStr">
        <is>
          <t>Lei 9.249/1995, arts. 15 e 20</t>
        </is>
      </c>
    </row>
    <row r="436">
      <c r="A436" s="5" t="inlineStr">
        <is>
          <t>AU2-LP</t>
        </is>
      </c>
      <c r="B436" s="6" t="inlineStr">
        <is>
          <t>1º tri - IRPJ</t>
        </is>
      </c>
      <c r="C436" s="6" t="inlineStr">
        <is>
          <t>R$ 14.400,00 x 15% + adicional 10% sobre o que exceder R$ 60.000,00</t>
        </is>
      </c>
      <c r="D436" s="7" t="n">
        <v>2160</v>
      </c>
      <c r="E436" s="6" t="inlineStr">
        <is>
          <t>Lei 9.430/1996, arts. 3º e 4º</t>
        </is>
      </c>
    </row>
    <row r="437">
      <c r="A437" s="5" t="inlineStr">
        <is>
          <t>AU2-LP</t>
        </is>
      </c>
      <c r="B437" s="6" t="inlineStr">
        <is>
          <t>1º tri - base presumida CSLL</t>
        </is>
      </c>
      <c r="C437" s="6" t="inlineStr">
        <is>
          <t>R$ 45.000,00 x 32,0%</t>
        </is>
      </c>
      <c r="D437" s="7" t="n">
        <v>14400</v>
      </c>
      <c r="E437" s="6" t="inlineStr">
        <is>
          <t>Lei 9.249/1995, arts. 15 e 20</t>
        </is>
      </c>
    </row>
    <row r="438">
      <c r="A438" s="5" t="inlineStr">
        <is>
          <t>AU2-LP</t>
        </is>
      </c>
      <c r="B438" s="6" t="inlineStr">
        <is>
          <t>1º tri - CSLL</t>
        </is>
      </c>
      <c r="C438" s="6" t="inlineStr">
        <is>
          <t>R$ 14.400,00 x 9%</t>
        </is>
      </c>
      <c r="D438" s="7" t="n">
        <v>1296</v>
      </c>
      <c r="E438" s="6" t="inlineStr">
        <is>
          <t>Lei 7.689/1988, art. 3º</t>
        </is>
      </c>
    </row>
    <row r="439">
      <c r="A439" s="5" t="inlineStr">
        <is>
          <t>AU2-LP</t>
        </is>
      </c>
      <c r="B439" s="6" t="inlineStr">
        <is>
          <t>2º tri - base presumida IRPJ</t>
        </is>
      </c>
      <c r="C439" s="6" t="inlineStr">
        <is>
          <t>R$ 45.000,00 x 32,0%</t>
        </is>
      </c>
      <c r="D439" s="7" t="n">
        <v>14400</v>
      </c>
      <c r="E439" s="6" t="inlineStr">
        <is>
          <t>Lei 9.249/1995, arts. 15 e 20</t>
        </is>
      </c>
    </row>
    <row r="440">
      <c r="A440" s="5" t="inlineStr">
        <is>
          <t>AU2-LP</t>
        </is>
      </c>
      <c r="B440" s="6" t="inlineStr">
        <is>
          <t>2º tri - IRPJ</t>
        </is>
      </c>
      <c r="C440" s="6" t="inlineStr">
        <is>
          <t>R$ 14.400,00 x 15% + adicional 10% sobre o que exceder R$ 60.000,00</t>
        </is>
      </c>
      <c r="D440" s="7" t="n">
        <v>2160</v>
      </c>
      <c r="E440" s="6" t="inlineStr">
        <is>
          <t>Lei 9.430/1996, arts. 3º e 4º</t>
        </is>
      </c>
    </row>
    <row r="441">
      <c r="A441" s="5" t="inlineStr">
        <is>
          <t>AU2-LP</t>
        </is>
      </c>
      <c r="B441" s="6" t="inlineStr">
        <is>
          <t>2º tri - base presumida CSLL</t>
        </is>
      </c>
      <c r="C441" s="6" t="inlineStr">
        <is>
          <t>R$ 45.000,00 x 32,0%</t>
        </is>
      </c>
      <c r="D441" s="7" t="n">
        <v>14400</v>
      </c>
      <c r="E441" s="6" t="inlineStr">
        <is>
          <t>Lei 9.249/1995, arts. 15 e 20</t>
        </is>
      </c>
    </row>
    <row r="442">
      <c r="A442" s="5" t="inlineStr">
        <is>
          <t>AU2-LP</t>
        </is>
      </c>
      <c r="B442" s="6" t="inlineStr">
        <is>
          <t>2º tri - CSLL</t>
        </is>
      </c>
      <c r="C442" s="6" t="inlineStr">
        <is>
          <t>R$ 14.400,00 x 9%</t>
        </is>
      </c>
      <c r="D442" s="7" t="n">
        <v>1296</v>
      </c>
      <c r="E442" s="6" t="inlineStr">
        <is>
          <t>Lei 7.689/1988, art. 3º</t>
        </is>
      </c>
    </row>
    <row r="443">
      <c r="A443" s="5" t="inlineStr">
        <is>
          <t>AU2-LP</t>
        </is>
      </c>
      <c r="B443" s="6" t="inlineStr">
        <is>
          <t>3º tri - base presumida IRPJ</t>
        </is>
      </c>
      <c r="C443" s="6" t="inlineStr">
        <is>
          <t>R$ 45.000,00 x 32,0%</t>
        </is>
      </c>
      <c r="D443" s="7" t="n">
        <v>14400</v>
      </c>
      <c r="E443" s="6" t="inlineStr">
        <is>
          <t>Lei 9.249/1995, arts. 15 e 20</t>
        </is>
      </c>
    </row>
    <row r="444">
      <c r="A444" s="5" t="inlineStr">
        <is>
          <t>AU2-LP</t>
        </is>
      </c>
      <c r="B444" s="6" t="inlineStr">
        <is>
          <t>3º tri - IRPJ</t>
        </is>
      </c>
      <c r="C444" s="6" t="inlineStr">
        <is>
          <t>R$ 14.400,00 x 15% + adicional 10% sobre o que exceder R$ 60.000,00</t>
        </is>
      </c>
      <c r="D444" s="7" t="n">
        <v>2160</v>
      </c>
      <c r="E444" s="6" t="inlineStr">
        <is>
          <t>Lei 9.430/1996, arts. 3º e 4º</t>
        </is>
      </c>
    </row>
    <row r="445">
      <c r="A445" s="5" t="inlineStr">
        <is>
          <t>AU2-LP</t>
        </is>
      </c>
      <c r="B445" s="6" t="inlineStr">
        <is>
          <t>3º tri - base presumida CSLL</t>
        </is>
      </c>
      <c r="C445" s="6" t="inlineStr">
        <is>
          <t>R$ 45.000,00 x 32,0%</t>
        </is>
      </c>
      <c r="D445" s="7" t="n">
        <v>14400</v>
      </c>
      <c r="E445" s="6" t="inlineStr">
        <is>
          <t>Lei 9.249/1995, arts. 15 e 20</t>
        </is>
      </c>
    </row>
    <row r="446">
      <c r="A446" s="5" t="inlineStr">
        <is>
          <t>AU2-LP</t>
        </is>
      </c>
      <c r="B446" s="6" t="inlineStr">
        <is>
          <t>3º tri - CSLL</t>
        </is>
      </c>
      <c r="C446" s="6" t="inlineStr">
        <is>
          <t>R$ 14.400,00 x 9%</t>
        </is>
      </c>
      <c r="D446" s="7" t="n">
        <v>1296</v>
      </c>
      <c r="E446" s="6" t="inlineStr">
        <is>
          <t>Lei 7.689/1988, art. 3º</t>
        </is>
      </c>
    </row>
    <row r="447">
      <c r="A447" s="5" t="inlineStr">
        <is>
          <t>AU2-LP</t>
        </is>
      </c>
      <c r="B447" s="6" t="inlineStr">
        <is>
          <t>4º tri - base presumida IRPJ</t>
        </is>
      </c>
      <c r="C447" s="6" t="inlineStr">
        <is>
          <t>R$ 45.000,00 x 32,0%</t>
        </is>
      </c>
      <c r="D447" s="7" t="n">
        <v>14400</v>
      </c>
      <c r="E447" s="6" t="inlineStr">
        <is>
          <t>Lei 9.249/1995, arts. 15 e 20</t>
        </is>
      </c>
    </row>
    <row r="448">
      <c r="A448" s="5" t="inlineStr">
        <is>
          <t>AU2-LP</t>
        </is>
      </c>
      <c r="B448" s="6" t="inlineStr">
        <is>
          <t>4º tri - IRPJ</t>
        </is>
      </c>
      <c r="C448" s="6" t="inlineStr">
        <is>
          <t>R$ 14.400,00 x 15% + adicional 10% sobre o que exceder R$ 60.000,00</t>
        </is>
      </c>
      <c r="D448" s="7" t="n">
        <v>2160</v>
      </c>
      <c r="E448" s="6" t="inlineStr">
        <is>
          <t>Lei 9.430/1996, arts. 3º e 4º</t>
        </is>
      </c>
    </row>
    <row r="449">
      <c r="A449" s="5" t="inlineStr">
        <is>
          <t>AU2-LP</t>
        </is>
      </c>
      <c r="B449" s="6" t="inlineStr">
        <is>
          <t>4º tri - base presumida CSLL</t>
        </is>
      </c>
      <c r="C449" s="6" t="inlineStr">
        <is>
          <t>R$ 45.000,00 x 32,0%</t>
        </is>
      </c>
      <c r="D449" s="7" t="n">
        <v>14400</v>
      </c>
      <c r="E449" s="6" t="inlineStr">
        <is>
          <t>Lei 9.249/1995, arts. 15 e 20</t>
        </is>
      </c>
    </row>
    <row r="450">
      <c r="A450" s="5" t="inlineStr">
        <is>
          <t>AU2-LP</t>
        </is>
      </c>
      <c r="B450" s="6" t="inlineStr">
        <is>
          <t>4º tri - CSLL</t>
        </is>
      </c>
      <c r="C450" s="6" t="inlineStr">
        <is>
          <t>R$ 14.400,00 x 9%</t>
        </is>
      </c>
      <c r="D450" s="7" t="n">
        <v>1296</v>
      </c>
      <c r="E450" s="6" t="inlineStr">
        <is>
          <t>Lei 7.689/1988, art. 3º</t>
        </is>
      </c>
    </row>
    <row r="451">
      <c r="A451" s="5" t="inlineStr">
        <is>
          <t>AU2-LP</t>
        </is>
      </c>
      <c r="B451" s="6" t="inlineStr">
        <is>
          <t>PIS cumulativo</t>
        </is>
      </c>
      <c r="C451" s="6" t="inlineStr">
        <is>
          <t>R$ 180.000,00 x 0,65%</t>
        </is>
      </c>
      <c r="D451" s="7" t="n">
        <v>1170</v>
      </c>
      <c r="E451" s="6" t="inlineStr">
        <is>
          <t>Lei 9.715/1998</t>
        </is>
      </c>
    </row>
    <row r="452">
      <c r="A452" s="5" t="inlineStr">
        <is>
          <t>AU2-LP</t>
        </is>
      </c>
      <c r="B452" s="6" t="inlineStr">
        <is>
          <t>Cofins cumulativa</t>
        </is>
      </c>
      <c r="C452" s="6" t="inlineStr">
        <is>
          <t>R$ 180.000,00 x 3,00%</t>
        </is>
      </c>
      <c r="D452" s="7" t="n">
        <v>5400</v>
      </c>
      <c r="E452" s="6" t="inlineStr">
        <is>
          <t>Lei 9.718/1998</t>
        </is>
      </c>
    </row>
    <row r="453">
      <c r="A453" s="5" t="inlineStr">
        <is>
          <t>AU2-LP</t>
        </is>
      </c>
      <c r="B453" s="6" t="inlineStr">
        <is>
          <t>ISS</t>
        </is>
      </c>
      <c r="C453" s="6" t="inlineStr">
        <is>
          <t>R$ 180.000,00 x 5,00%</t>
        </is>
      </c>
      <c r="D453" s="7" t="n">
        <v>9000</v>
      </c>
      <c r="E453" s="6" t="inlineStr">
        <is>
          <t>LC 116/2003 e lei municipal</t>
        </is>
      </c>
    </row>
    <row r="454">
      <c r="A454" s="5" t="inlineStr">
        <is>
          <t>AU2-LP</t>
        </is>
      </c>
      <c r="B454" s="6" t="inlineStr">
        <is>
          <t>INSS patronal sobre a folha CLT</t>
        </is>
      </c>
      <c r="C454" s="6" t="inlineStr">
        <is>
          <t>R$ 0,00 x (20,00% CPP + 2,00% RAT + 5,80% terceiros)</t>
        </is>
      </c>
      <c r="D454" s="7" t="n">
        <v>0</v>
      </c>
      <c r="E454" s="6" t="inlineStr">
        <is>
          <t>Lei 8.212/1991, art. 22, I e II</t>
        </is>
      </c>
    </row>
    <row r="455">
      <c r="A455" s="5" t="inlineStr">
        <is>
          <t>AU2-LP</t>
        </is>
      </c>
      <c r="B455" s="6" t="inlineStr">
        <is>
          <t>INSS patronal sobre o pró-labore</t>
        </is>
      </c>
      <c r="C455" s="6" t="inlineStr">
        <is>
          <t>R$ 19.452,00 x 20,00%</t>
        </is>
      </c>
      <c r="D455" s="7" t="n">
        <v>3890.4</v>
      </c>
      <c r="E455" s="6" t="inlineStr">
        <is>
          <t>Lei 8.212/1991, art. 22, III</t>
        </is>
      </c>
    </row>
    <row r="456">
      <c r="A456" s="5" t="inlineStr">
        <is>
          <t>AU2-LP</t>
        </is>
      </c>
      <c r="B456" s="6" t="inlineStr">
        <is>
          <t>IRPJ mensal</t>
        </is>
      </c>
      <c r="C456" s="6" t="inlineStr">
        <is>
          <t>R$ 8.640,00 / 12</t>
        </is>
      </c>
      <c r="D456" s="7" t="n">
        <v>720</v>
      </c>
      <c r="E456" s="6" t="inlineStr"/>
    </row>
    <row r="457">
      <c r="A457" s="5" t="inlineStr">
        <is>
          <t>AU2-LP</t>
        </is>
      </c>
      <c r="B457" s="6" t="inlineStr">
        <is>
          <t>CSLL mensal</t>
        </is>
      </c>
      <c r="C457" s="6" t="inlineStr">
        <is>
          <t>R$ 5.184,00 / 12</t>
        </is>
      </c>
      <c r="D457" s="7" t="n">
        <v>432</v>
      </c>
      <c r="E457" s="6" t="inlineStr"/>
    </row>
    <row r="458">
      <c r="A458" s="5" t="inlineStr">
        <is>
          <t>AU2-LP</t>
        </is>
      </c>
      <c r="B458" s="6" t="inlineStr">
        <is>
          <t>PIS mensal</t>
        </is>
      </c>
      <c r="C458" s="6" t="inlineStr">
        <is>
          <t>R$ 1.170,00 / 12</t>
        </is>
      </c>
      <c r="D458" s="7" t="n">
        <v>97.5</v>
      </c>
      <c r="E458" s="6" t="inlineStr"/>
    </row>
    <row r="459">
      <c r="A459" s="5" t="inlineStr">
        <is>
          <t>AU2-LP</t>
        </is>
      </c>
      <c r="B459" s="6" t="inlineStr">
        <is>
          <t>Cofins mensal</t>
        </is>
      </c>
      <c r="C459" s="6" t="inlineStr">
        <is>
          <t>R$ 5.400,00 / 12</t>
        </is>
      </c>
      <c r="D459" s="7" t="n">
        <v>450</v>
      </c>
      <c r="E459" s="6" t="inlineStr"/>
    </row>
    <row r="460">
      <c r="A460" s="5" t="inlineStr">
        <is>
          <t>AU2-LP</t>
        </is>
      </c>
      <c r="B460" s="6" t="inlineStr">
        <is>
          <t>ISS mensal</t>
        </is>
      </c>
      <c r="C460" s="6" t="inlineStr">
        <is>
          <t>R$ 9.000,00 / 12</t>
        </is>
      </c>
      <c r="D460" s="7" t="n">
        <v>750</v>
      </c>
      <c r="E460" s="6" t="inlineStr"/>
    </row>
    <row r="461">
      <c r="A461" s="5" t="inlineStr">
        <is>
          <t>AU2-LP</t>
        </is>
      </c>
      <c r="B461" s="6" t="inlineStr">
        <is>
          <t>INSS patronal mensal</t>
        </is>
      </c>
      <c r="C461" s="6" t="inlineStr">
        <is>
          <t>R$ 3.890,40 / 12</t>
        </is>
      </c>
      <c r="D461" s="7" t="n">
        <v>324.2</v>
      </c>
      <c r="E461" s="6" t="inlineStr"/>
    </row>
    <row r="462">
      <c r="A462" s="5" t="inlineStr">
        <is>
          <t>AU2-LP</t>
        </is>
      </c>
      <c r="B462" s="6" t="inlineStr">
        <is>
          <t>INSS do sócio</t>
        </is>
      </c>
      <c r="C462" s="6" t="inlineStr">
        <is>
          <t>R$ 1.621,00 x 11%</t>
        </is>
      </c>
      <c r="D462" s="7" t="n">
        <v>178.31</v>
      </c>
      <c r="E462" s="6" t="inlineStr">
        <is>
          <t>Lei 8.212/1991, art. 21</t>
        </is>
      </c>
    </row>
    <row r="463">
      <c r="A463" s="5" t="inlineStr">
        <is>
          <t>AU3-PF</t>
        </is>
      </c>
      <c r="B463" s="6" t="inlineStr">
        <is>
          <t>INSS contribuinte individual</t>
        </is>
      </c>
      <c r="C463" s="6" t="inlineStr">
        <is>
          <t>20% x mín(R$ 40.000,00; teto R$ 8.475,55)</t>
        </is>
      </c>
      <c r="D463" s="7" t="n">
        <v>1695.11</v>
      </c>
      <c r="E463" s="6" t="inlineStr">
        <is>
          <t>Lei 8.212/1991, art. 21</t>
        </is>
      </c>
    </row>
    <row r="464">
      <c r="A464" s="5" t="inlineStr">
        <is>
          <t>AU3-PF</t>
        </is>
      </c>
      <c r="B464" s="6" t="inlineStr">
        <is>
          <t>Dedução aplicada</t>
        </is>
      </c>
      <c r="C464" s="6" t="inlineStr">
        <is>
          <t>maior entre deduções legais R$ 1.884,70 e desconto simplificado R$ 607,20</t>
        </is>
      </c>
      <c r="D464" s="7" t="n">
        <v>1884.7</v>
      </c>
      <c r="E464" s="6" t="inlineStr">
        <is>
          <t>Lei 9.250/1995, art. 4º; Lei 15.191/2025</t>
        </is>
      </c>
    </row>
    <row r="465">
      <c r="A465" s="5" t="inlineStr">
        <is>
          <t>AU3-PF</t>
        </is>
      </c>
      <c r="B465" s="6" t="inlineStr">
        <is>
          <t>Base de cálculo</t>
        </is>
      </c>
      <c r="C465" s="6" t="inlineStr">
        <is>
          <t>R$ 40.000,00 - R$ 1.884,70</t>
        </is>
      </c>
      <c r="D465" s="7" t="n">
        <v>38115.3</v>
      </c>
      <c r="E465" s="6" t="inlineStr"/>
    </row>
    <row r="466">
      <c r="A466" s="5" t="inlineStr">
        <is>
          <t>AU3-PF</t>
        </is>
      </c>
      <c r="B466" s="6" t="inlineStr">
        <is>
          <t>Imposto pela tabela progressiva</t>
        </is>
      </c>
      <c r="C466" s="6" t="inlineStr">
        <is>
          <t>R$ 38.115,30 x 27,5% - R$ 908,73</t>
        </is>
      </c>
      <c r="D466" s="7" t="n">
        <v>9572.977500000001</v>
      </c>
      <c r="E466" s="6" t="inlineStr">
        <is>
          <t>Lei 15.191/2025 (tabela) + Lei 15.270/2025 (redução)</t>
        </is>
      </c>
    </row>
    <row r="467">
      <c r="A467" s="5" t="inlineStr">
        <is>
          <t>AU3-PF</t>
        </is>
      </c>
      <c r="B467" s="6" t="inlineStr">
        <is>
          <t>Redução Lei 15.270/2025</t>
        </is>
      </c>
      <c r="C467" s="6" t="inlineStr">
        <is>
          <t>rendimentos acima de R$ 7.350,00: sem redução</t>
        </is>
      </c>
      <c r="D467" s="7" t="n">
        <v>0</v>
      </c>
      <c r="E467" s="6" t="inlineStr">
        <is>
          <t>Lei 15.270/2025</t>
        </is>
      </c>
    </row>
    <row r="468">
      <c r="A468" s="5" t="inlineStr">
        <is>
          <t>AU3-SN</t>
        </is>
      </c>
      <c r="B468" s="6" t="inlineStr">
        <is>
          <t>Fator R (folha 12 meses / RBT12)</t>
        </is>
      </c>
      <c r="C468" s="6" t="inlineStr">
        <is>
          <t>R$ 134.400,12 (salários + pró-labore + FGTS 8%) / R$ 480.000,00 = 28,00% -&gt; Anexo III</t>
        </is>
      </c>
      <c r="D468" s="19" t="n">
        <v>0.28000025</v>
      </c>
      <c r="E468" s="6" t="inlineStr">
        <is>
          <t>LC 123/2006, art. 18, §5º-J, §5º-M e §24</t>
        </is>
      </c>
    </row>
    <row r="469">
      <c r="A469" s="5" t="inlineStr">
        <is>
          <t>AU3-SN</t>
        </is>
      </c>
      <c r="B469" s="6" t="inlineStr">
        <is>
          <t>Alíquota efetiva - Anexo III, 3ª faixa</t>
        </is>
      </c>
      <c r="C469" s="6" t="inlineStr">
        <is>
          <t>(R$ 480.000,00 x 13,50% - R$ 17.640,00) / R$ 480.000,00 = 9,8250%</t>
        </is>
      </c>
      <c r="D469" s="19" t="n">
        <v>0.09825</v>
      </c>
      <c r="E469" s="6" t="inlineStr">
        <is>
          <t>LC 123/2006, art. 18, §1º e §1º-A</t>
        </is>
      </c>
    </row>
    <row r="470">
      <c r="A470" s="5" t="inlineStr">
        <is>
          <t>AU3-SN</t>
        </is>
      </c>
      <c r="B470" s="6" t="inlineStr">
        <is>
          <t>DAS anual</t>
        </is>
      </c>
      <c r="C470" s="6" t="inlineStr">
        <is>
          <t>R$ 480.000,00 x 9,8250%</t>
        </is>
      </c>
      <c r="D470" s="7" t="n">
        <v>47160</v>
      </c>
      <c r="E470" s="6" t="inlineStr">
        <is>
          <t>LC 123/2006, art. 13</t>
        </is>
      </c>
    </row>
    <row r="471">
      <c r="A471" s="5" t="inlineStr">
        <is>
          <t>AU3-SN</t>
        </is>
      </c>
      <c r="B471" s="6" t="inlineStr">
        <is>
          <t>DAS mensal</t>
        </is>
      </c>
      <c r="C471" s="6" t="inlineStr">
        <is>
          <t>R$ 47.160,00 / 12</t>
        </is>
      </c>
      <c r="D471" s="7" t="n">
        <v>3930</v>
      </c>
      <c r="E471" s="6" t="inlineStr"/>
    </row>
    <row r="472">
      <c r="A472" s="5" t="inlineStr">
        <is>
          <t>AU3-SN</t>
        </is>
      </c>
      <c r="B472" s="6" t="inlineStr">
        <is>
          <t>INSS do sócio</t>
        </is>
      </c>
      <c r="C472" s="6" t="inlineStr">
        <is>
          <t>R$ 11.200,01 x 11%</t>
        </is>
      </c>
      <c r="D472" s="7" t="n">
        <v>932.3099999999999</v>
      </c>
      <c r="E472" s="6" t="inlineStr">
        <is>
          <t>Lei 8.212/1991, art. 21</t>
        </is>
      </c>
    </row>
    <row r="473">
      <c r="A473" s="5" t="inlineStr">
        <is>
          <t>AU3-LP</t>
        </is>
      </c>
      <c r="B473" s="6" t="inlineStr">
        <is>
          <t>Percentuais de presunção</t>
        </is>
      </c>
      <c r="C473" s="6" t="inlineStr">
        <is>
          <t>Prestação de serviços em geral: IRPJ 32,0%, CSLL 32,0%</t>
        </is>
      </c>
      <c r="D473" s="19" t="n">
        <v>0.32</v>
      </c>
      <c r="E473" s="6" t="inlineStr">
        <is>
          <t>Lei 9.249/1995, art. 15, §1º e art. 20</t>
        </is>
      </c>
    </row>
    <row r="474">
      <c r="A474" s="5" t="inlineStr">
        <is>
          <t>AU3-LP</t>
        </is>
      </c>
      <c r="B474" s="6" t="inlineStr">
        <is>
          <t>1º tri - base presumida IRPJ</t>
        </is>
      </c>
      <c r="C474" s="6" t="inlineStr">
        <is>
          <t>R$ 120.000,00 x 32,0%</t>
        </is>
      </c>
      <c r="D474" s="7" t="n">
        <v>38400</v>
      </c>
      <c r="E474" s="6" t="inlineStr">
        <is>
          <t>Lei 9.249/1995, arts. 15 e 20</t>
        </is>
      </c>
    </row>
    <row r="475">
      <c r="A475" s="5" t="inlineStr">
        <is>
          <t>AU3-LP</t>
        </is>
      </c>
      <c r="B475" s="6" t="inlineStr">
        <is>
          <t>1º tri - IRPJ</t>
        </is>
      </c>
      <c r="C475" s="6" t="inlineStr">
        <is>
          <t>R$ 38.400,00 x 15% + adicional 10% sobre o que exceder R$ 60.000,00</t>
        </is>
      </c>
      <c r="D475" s="7" t="n">
        <v>5760</v>
      </c>
      <c r="E475" s="6" t="inlineStr">
        <is>
          <t>Lei 9.430/1996, arts. 3º e 4º</t>
        </is>
      </c>
    </row>
    <row r="476">
      <c r="A476" s="5" t="inlineStr">
        <is>
          <t>AU3-LP</t>
        </is>
      </c>
      <c r="B476" s="6" t="inlineStr">
        <is>
          <t>1º tri - base presumida CSLL</t>
        </is>
      </c>
      <c r="C476" s="6" t="inlineStr">
        <is>
          <t>R$ 120.000,00 x 32,0%</t>
        </is>
      </c>
      <c r="D476" s="7" t="n">
        <v>38400</v>
      </c>
      <c r="E476" s="6" t="inlineStr">
        <is>
          <t>Lei 9.249/1995, arts. 15 e 20</t>
        </is>
      </c>
    </row>
    <row r="477">
      <c r="A477" s="5" t="inlineStr">
        <is>
          <t>AU3-LP</t>
        </is>
      </c>
      <c r="B477" s="6" t="inlineStr">
        <is>
          <t>1º tri - CSLL</t>
        </is>
      </c>
      <c r="C477" s="6" t="inlineStr">
        <is>
          <t>R$ 38.400,00 x 9%</t>
        </is>
      </c>
      <c r="D477" s="7" t="n">
        <v>3456</v>
      </c>
      <c r="E477" s="6" t="inlineStr">
        <is>
          <t>Lei 7.689/1988, art. 3º</t>
        </is>
      </c>
    </row>
    <row r="478">
      <c r="A478" s="5" t="inlineStr">
        <is>
          <t>AU3-LP</t>
        </is>
      </c>
      <c r="B478" s="6" t="inlineStr">
        <is>
          <t>2º tri - base presumida IRPJ</t>
        </is>
      </c>
      <c r="C478" s="6" t="inlineStr">
        <is>
          <t>R$ 120.000,00 x 32,0%</t>
        </is>
      </c>
      <c r="D478" s="7" t="n">
        <v>38400</v>
      </c>
      <c r="E478" s="6" t="inlineStr">
        <is>
          <t>Lei 9.249/1995, arts. 15 e 20</t>
        </is>
      </c>
    </row>
    <row r="479">
      <c r="A479" s="5" t="inlineStr">
        <is>
          <t>AU3-LP</t>
        </is>
      </c>
      <c r="B479" s="6" t="inlineStr">
        <is>
          <t>2º tri - IRPJ</t>
        </is>
      </c>
      <c r="C479" s="6" t="inlineStr">
        <is>
          <t>R$ 38.400,00 x 15% + adicional 10% sobre o que exceder R$ 60.000,00</t>
        </is>
      </c>
      <c r="D479" s="7" t="n">
        <v>5760</v>
      </c>
      <c r="E479" s="6" t="inlineStr">
        <is>
          <t>Lei 9.430/1996, arts. 3º e 4º</t>
        </is>
      </c>
    </row>
    <row r="480">
      <c r="A480" s="5" t="inlineStr">
        <is>
          <t>AU3-LP</t>
        </is>
      </c>
      <c r="B480" s="6" t="inlineStr">
        <is>
          <t>2º tri - base presumida CSLL</t>
        </is>
      </c>
      <c r="C480" s="6" t="inlineStr">
        <is>
          <t>R$ 120.000,00 x 32,0%</t>
        </is>
      </c>
      <c r="D480" s="7" t="n">
        <v>38400</v>
      </c>
      <c r="E480" s="6" t="inlineStr">
        <is>
          <t>Lei 9.249/1995, arts. 15 e 20</t>
        </is>
      </c>
    </row>
    <row r="481">
      <c r="A481" s="5" t="inlineStr">
        <is>
          <t>AU3-LP</t>
        </is>
      </c>
      <c r="B481" s="6" t="inlineStr">
        <is>
          <t>2º tri - CSLL</t>
        </is>
      </c>
      <c r="C481" s="6" t="inlineStr">
        <is>
          <t>R$ 38.400,00 x 9%</t>
        </is>
      </c>
      <c r="D481" s="7" t="n">
        <v>3456</v>
      </c>
      <c r="E481" s="6" t="inlineStr">
        <is>
          <t>Lei 7.689/1988, art. 3º</t>
        </is>
      </c>
    </row>
    <row r="482">
      <c r="A482" s="5" t="inlineStr">
        <is>
          <t>AU3-LP</t>
        </is>
      </c>
      <c r="B482" s="6" t="inlineStr">
        <is>
          <t>3º tri - base presumida IRPJ</t>
        </is>
      </c>
      <c r="C482" s="6" t="inlineStr">
        <is>
          <t>R$ 120.000,00 x 32,0%</t>
        </is>
      </c>
      <c r="D482" s="7" t="n">
        <v>38400</v>
      </c>
      <c r="E482" s="6" t="inlineStr">
        <is>
          <t>Lei 9.249/1995, arts. 15 e 20</t>
        </is>
      </c>
    </row>
    <row r="483">
      <c r="A483" s="5" t="inlineStr">
        <is>
          <t>AU3-LP</t>
        </is>
      </c>
      <c r="B483" s="6" t="inlineStr">
        <is>
          <t>3º tri - IRPJ</t>
        </is>
      </c>
      <c r="C483" s="6" t="inlineStr">
        <is>
          <t>R$ 38.400,00 x 15% + adicional 10% sobre o que exceder R$ 60.000,00</t>
        </is>
      </c>
      <c r="D483" s="7" t="n">
        <v>5760</v>
      </c>
      <c r="E483" s="6" t="inlineStr">
        <is>
          <t>Lei 9.430/1996, arts. 3º e 4º</t>
        </is>
      </c>
    </row>
    <row r="484">
      <c r="A484" s="5" t="inlineStr">
        <is>
          <t>AU3-LP</t>
        </is>
      </c>
      <c r="B484" s="6" t="inlineStr">
        <is>
          <t>3º tri - base presumida CSLL</t>
        </is>
      </c>
      <c r="C484" s="6" t="inlineStr">
        <is>
          <t>R$ 120.000,00 x 32,0%</t>
        </is>
      </c>
      <c r="D484" s="7" t="n">
        <v>38400</v>
      </c>
      <c r="E484" s="6" t="inlineStr">
        <is>
          <t>Lei 9.249/1995, arts. 15 e 20</t>
        </is>
      </c>
    </row>
    <row r="485">
      <c r="A485" s="5" t="inlineStr">
        <is>
          <t>AU3-LP</t>
        </is>
      </c>
      <c r="B485" s="6" t="inlineStr">
        <is>
          <t>3º tri - CSLL</t>
        </is>
      </c>
      <c r="C485" s="6" t="inlineStr">
        <is>
          <t>R$ 38.400,00 x 9%</t>
        </is>
      </c>
      <c r="D485" s="7" t="n">
        <v>3456</v>
      </c>
      <c r="E485" s="6" t="inlineStr">
        <is>
          <t>Lei 7.689/1988, art. 3º</t>
        </is>
      </c>
    </row>
    <row r="486">
      <c r="A486" s="5" t="inlineStr">
        <is>
          <t>AU3-LP</t>
        </is>
      </c>
      <c r="B486" s="6" t="inlineStr">
        <is>
          <t>4º tri - base presumida IRPJ</t>
        </is>
      </c>
      <c r="C486" s="6" t="inlineStr">
        <is>
          <t>R$ 120.000,00 x 32,0%</t>
        </is>
      </c>
      <c r="D486" s="7" t="n">
        <v>38400</v>
      </c>
      <c r="E486" s="6" t="inlineStr">
        <is>
          <t>Lei 9.249/1995, arts. 15 e 20</t>
        </is>
      </c>
    </row>
    <row r="487">
      <c r="A487" s="5" t="inlineStr">
        <is>
          <t>AU3-LP</t>
        </is>
      </c>
      <c r="B487" s="6" t="inlineStr">
        <is>
          <t>4º tri - IRPJ</t>
        </is>
      </c>
      <c r="C487" s="6" t="inlineStr">
        <is>
          <t>R$ 38.400,00 x 15% + adicional 10% sobre o que exceder R$ 60.000,00</t>
        </is>
      </c>
      <c r="D487" s="7" t="n">
        <v>5760</v>
      </c>
      <c r="E487" s="6" t="inlineStr">
        <is>
          <t>Lei 9.430/1996, arts. 3º e 4º</t>
        </is>
      </c>
    </row>
    <row r="488">
      <c r="A488" s="5" t="inlineStr">
        <is>
          <t>AU3-LP</t>
        </is>
      </c>
      <c r="B488" s="6" t="inlineStr">
        <is>
          <t>4º tri - base presumida CSLL</t>
        </is>
      </c>
      <c r="C488" s="6" t="inlineStr">
        <is>
          <t>R$ 120.000,00 x 32,0%</t>
        </is>
      </c>
      <c r="D488" s="7" t="n">
        <v>38400</v>
      </c>
      <c r="E488" s="6" t="inlineStr">
        <is>
          <t>Lei 9.249/1995, arts. 15 e 20</t>
        </is>
      </c>
    </row>
    <row r="489">
      <c r="A489" s="5" t="inlineStr">
        <is>
          <t>AU3-LP</t>
        </is>
      </c>
      <c r="B489" s="6" t="inlineStr">
        <is>
          <t>4º tri - CSLL</t>
        </is>
      </c>
      <c r="C489" s="6" t="inlineStr">
        <is>
          <t>R$ 38.400,00 x 9%</t>
        </is>
      </c>
      <c r="D489" s="7" t="n">
        <v>3456</v>
      </c>
      <c r="E489" s="6" t="inlineStr">
        <is>
          <t>Lei 7.689/1988, art. 3º</t>
        </is>
      </c>
    </row>
    <row r="490">
      <c r="A490" s="5" t="inlineStr">
        <is>
          <t>AU3-LP</t>
        </is>
      </c>
      <c r="B490" s="6" t="inlineStr">
        <is>
          <t>PIS cumulativo</t>
        </is>
      </c>
      <c r="C490" s="6" t="inlineStr">
        <is>
          <t>R$ 480.000,00 x 0,65%</t>
        </is>
      </c>
      <c r="D490" s="7" t="n">
        <v>3120</v>
      </c>
      <c r="E490" s="6" t="inlineStr">
        <is>
          <t>Lei 9.715/1998</t>
        </is>
      </c>
    </row>
    <row r="491">
      <c r="A491" s="5" t="inlineStr">
        <is>
          <t>AU3-LP</t>
        </is>
      </c>
      <c r="B491" s="6" t="inlineStr">
        <is>
          <t>Cofins cumulativa</t>
        </is>
      </c>
      <c r="C491" s="6" t="inlineStr">
        <is>
          <t>R$ 480.000,00 x 3,00%</t>
        </is>
      </c>
      <c r="D491" s="7" t="n">
        <v>14400</v>
      </c>
      <c r="E491" s="6" t="inlineStr">
        <is>
          <t>Lei 9.718/1998</t>
        </is>
      </c>
    </row>
    <row r="492">
      <c r="A492" s="5" t="inlineStr">
        <is>
          <t>AU3-LP</t>
        </is>
      </c>
      <c r="B492" s="6" t="inlineStr">
        <is>
          <t>ISS</t>
        </is>
      </c>
      <c r="C492" s="6" t="inlineStr">
        <is>
          <t>R$ 480.000,00 x 5,00%</t>
        </is>
      </c>
      <c r="D492" s="7" t="n">
        <v>24000</v>
      </c>
      <c r="E492" s="6" t="inlineStr">
        <is>
          <t>LC 116/2003 e lei municipal</t>
        </is>
      </c>
    </row>
    <row r="493">
      <c r="A493" s="5" t="inlineStr">
        <is>
          <t>AU3-LP</t>
        </is>
      </c>
      <c r="B493" s="6" t="inlineStr">
        <is>
          <t>INSS patronal sobre a folha CLT</t>
        </is>
      </c>
      <c r="C493" s="6" t="inlineStr">
        <is>
          <t>R$ 0,00 x (20,00% CPP + 2,00% RAT + 5,80% terceiros)</t>
        </is>
      </c>
      <c r="D493" s="7" t="n">
        <v>0</v>
      </c>
      <c r="E493" s="6" t="inlineStr">
        <is>
          <t>Lei 8.212/1991, art. 22, I e II</t>
        </is>
      </c>
    </row>
    <row r="494">
      <c r="A494" s="5" t="inlineStr">
        <is>
          <t>AU3-LP</t>
        </is>
      </c>
      <c r="B494" s="6" t="inlineStr">
        <is>
          <t>INSS patronal sobre o pró-labore</t>
        </is>
      </c>
      <c r="C494" s="6" t="inlineStr">
        <is>
          <t>R$ 19.452,00 x 20,00%</t>
        </is>
      </c>
      <c r="D494" s="7" t="n">
        <v>3890.4</v>
      </c>
      <c r="E494" s="6" t="inlineStr">
        <is>
          <t>Lei 8.212/1991, art. 22, III</t>
        </is>
      </c>
    </row>
    <row r="495">
      <c r="A495" s="5" t="inlineStr">
        <is>
          <t>AU3-LP</t>
        </is>
      </c>
      <c r="B495" s="6" t="inlineStr">
        <is>
          <t>IRPJ mensal</t>
        </is>
      </c>
      <c r="C495" s="6" t="inlineStr">
        <is>
          <t>R$ 23.040,00 / 12</t>
        </is>
      </c>
      <c r="D495" s="7" t="n">
        <v>1920</v>
      </c>
      <c r="E495" s="6" t="inlineStr"/>
    </row>
    <row r="496">
      <c r="A496" s="5" t="inlineStr">
        <is>
          <t>AU3-LP</t>
        </is>
      </c>
      <c r="B496" s="6" t="inlineStr">
        <is>
          <t>CSLL mensal</t>
        </is>
      </c>
      <c r="C496" s="6" t="inlineStr">
        <is>
          <t>R$ 13.824,00 / 12</t>
        </is>
      </c>
      <c r="D496" s="7" t="n">
        <v>1152</v>
      </c>
      <c r="E496" s="6" t="inlineStr"/>
    </row>
    <row r="497">
      <c r="A497" s="5" t="inlineStr">
        <is>
          <t>AU3-LP</t>
        </is>
      </c>
      <c r="B497" s="6" t="inlineStr">
        <is>
          <t>PIS mensal</t>
        </is>
      </c>
      <c r="C497" s="6" t="inlineStr">
        <is>
          <t>R$ 3.120,00 / 12</t>
        </is>
      </c>
      <c r="D497" s="7" t="n">
        <v>260</v>
      </c>
      <c r="E497" s="6" t="inlineStr"/>
    </row>
    <row r="498">
      <c r="A498" s="5" t="inlineStr">
        <is>
          <t>AU3-LP</t>
        </is>
      </c>
      <c r="B498" s="6" t="inlineStr">
        <is>
          <t>Cofins mensal</t>
        </is>
      </c>
      <c r="C498" s="6" t="inlineStr">
        <is>
          <t>R$ 14.400,00 / 12</t>
        </is>
      </c>
      <c r="D498" s="7" t="n">
        <v>1200</v>
      </c>
      <c r="E498" s="6" t="inlineStr"/>
    </row>
    <row r="499">
      <c r="A499" s="5" t="inlineStr">
        <is>
          <t>AU3-LP</t>
        </is>
      </c>
      <c r="B499" s="6" t="inlineStr">
        <is>
          <t>ISS mensal</t>
        </is>
      </c>
      <c r="C499" s="6" t="inlineStr">
        <is>
          <t>R$ 24.000,00 / 12</t>
        </is>
      </c>
      <c r="D499" s="7" t="n">
        <v>2000</v>
      </c>
      <c r="E499" s="6" t="inlineStr"/>
    </row>
    <row r="500">
      <c r="A500" s="5" t="inlineStr">
        <is>
          <t>AU3-LP</t>
        </is>
      </c>
      <c r="B500" s="6" t="inlineStr">
        <is>
          <t>INSS patronal mensal</t>
        </is>
      </c>
      <c r="C500" s="6" t="inlineStr">
        <is>
          <t>R$ 3.890,40 / 12</t>
        </is>
      </c>
      <c r="D500" s="7" t="n">
        <v>324.2</v>
      </c>
      <c r="E500" s="6" t="inlineStr"/>
    </row>
    <row r="501">
      <c r="A501" s="5" t="inlineStr">
        <is>
          <t>AU3-LP</t>
        </is>
      </c>
      <c r="B501" s="6" t="inlineStr">
        <is>
          <t>INSS do sócio</t>
        </is>
      </c>
      <c r="C501" s="6" t="inlineStr">
        <is>
          <t>R$ 1.621,00 x 11%</t>
        </is>
      </c>
      <c r="D501" s="7" t="n">
        <v>178.31</v>
      </c>
      <c r="E501" s="6" t="inlineStr">
        <is>
          <t>Lei 8.212/1991, art. 21</t>
        </is>
      </c>
    </row>
    <row r="502">
      <c r="A502" s="5" t="inlineStr">
        <is>
          <t>REC1</t>
        </is>
      </c>
      <c r="B502" s="6" t="inlineStr">
        <is>
          <t>Venda de itens monofásicos (provável)</t>
        </is>
      </c>
      <c r="C502" s="6" t="inlineStr">
        <is>
          <t>soma dos itens com CST PIS 04 ou NCM da lista</t>
        </is>
      </c>
      <c r="D502" s="7" t="n">
        <v>10000</v>
      </c>
      <c r="E502" s="6" t="inlineStr">
        <is>
          <t>LC 123/2006, art. 18, §4º-A, I; Res. CGSN 140/2018, art. 25</t>
        </is>
      </c>
    </row>
    <row r="503">
      <c r="A503" s="5" t="inlineStr">
        <is>
          <t>REC1</t>
        </is>
      </c>
      <c r="B503" s="6" t="inlineStr">
        <is>
          <t>Venda de itens com ICMS-ST (provável)</t>
        </is>
      </c>
      <c r="C503" s="6" t="inlineStr">
        <is>
          <t>soma dos itens com CSOSN 500/201/202/203, CST 10/30/60/70 ou CFOP de ST</t>
        </is>
      </c>
      <c r="D503" s="7" t="n">
        <v>20000</v>
      </c>
      <c r="E503" s="6" t="inlineStr">
        <is>
          <t>LC 123/2006, art. 13, §1º, XIII, a, e art. 18, §4º-A, I; Res. CGSN 140/2018, art. 25</t>
        </is>
      </c>
    </row>
    <row r="504">
      <c r="A504" s="5" t="inlineStr">
        <is>
          <t>REC1</t>
        </is>
      </c>
      <c r="B504" s="6" t="inlineStr">
        <is>
          <t>Exemplo: 01/2026 - RBT12</t>
        </is>
      </c>
      <c r="C504" s="6" t="inlineStr">
        <is>
          <t>soma da receita dos 12 meses anteriores</t>
        </is>
      </c>
      <c r="D504" s="7" t="n">
        <v>1200000</v>
      </c>
      <c r="E504" s="6" t="inlineStr">
        <is>
          <t>LC 123/2006, art. 3º, §§ 1º e 2º, e art. 18, §1º</t>
        </is>
      </c>
    </row>
    <row r="505">
      <c r="A505" s="5" t="inlineStr">
        <is>
          <t>REC1</t>
        </is>
      </c>
      <c r="B505" s="6" t="inlineStr">
        <is>
          <t>Exemplo: 01/2026 - alíquota efetiva (faixa 4)</t>
        </is>
      </c>
      <c r="C505" s="6" t="inlineStr">
        <is>
          <t>(RBT12 x alíquota nominal - parcela a deduzir) / RBT12</t>
        </is>
      </c>
      <c r="D505" s="7" t="n">
        <v>0.08825</v>
      </c>
      <c r="E505" s="6" t="inlineStr">
        <is>
          <t>LC 123/2006, art. 18, §1º</t>
        </is>
      </c>
    </row>
    <row r="506">
      <c r="A506" s="5" t="inlineStr">
        <is>
          <t>REC1</t>
        </is>
      </c>
      <c r="B506" s="6" t="inlineStr">
        <is>
          <t>Exemplo: 01/2026 - percentual de PIS+Cofins na repartição da faixa</t>
        </is>
      </c>
      <c r="C506" s="6" t="inlineStr">
        <is>
          <t>% de PIS + % de Cofins da faixa</t>
        </is>
      </c>
      <c r="D506" s="7" t="n">
        <v>0.155</v>
      </c>
      <c r="E506" s="6" t="inlineStr">
        <is>
          <t>LC 123/2006, Anexos I e II (repartição)</t>
        </is>
      </c>
    </row>
    <row r="507">
      <c r="A507" s="5" t="inlineStr">
        <is>
          <t>REC1</t>
        </is>
      </c>
      <c r="B507" s="6" t="inlineStr">
        <is>
          <t>Exemplo: 01/2026 - percentual de ICMS na repartição da faixa</t>
        </is>
      </c>
      <c r="C507" s="6" t="inlineStr">
        <is>
          <t>% de ICMS da faixa</t>
        </is>
      </c>
      <c r="D507" s="7" t="n">
        <v>0.335</v>
      </c>
      <c r="E507" s="6" t="inlineStr">
        <is>
          <t>LC 123/2006, Anexos I e II (repartição)</t>
        </is>
      </c>
    </row>
    <row r="508">
      <c r="A508" s="5" t="inlineStr">
        <is>
          <t>REC1</t>
        </is>
      </c>
      <c r="B508" s="6" t="inlineStr">
        <is>
          <t>Exemplo: 01/2026 - PIS/Cofins pagos a mais</t>
        </is>
      </c>
      <c r="C508" s="6" t="inlineStr">
        <is>
          <t>R$ 10.000,00 x 8,8250% x 15,50%</t>
        </is>
      </c>
      <c r="D508" s="7" t="n">
        <v>136.79</v>
      </c>
      <c r="E508" s="6" t="inlineStr">
        <is>
          <t>LC 123/2006, art. 18, §4º-A, I; Res. CGSN 140/2018, art. 25</t>
        </is>
      </c>
    </row>
    <row r="509">
      <c r="A509" s="5" t="inlineStr">
        <is>
          <t>REC1</t>
        </is>
      </c>
      <c r="B509" s="6" t="inlineStr">
        <is>
          <t>Exemplo: 01/2026 - ICMS pago a mais</t>
        </is>
      </c>
      <c r="C509" s="6" t="inlineStr">
        <is>
          <t>R$ 20.000,00 x 8,8250% x 33,50%</t>
        </is>
      </c>
      <c r="D509" s="7" t="n">
        <v>591.28</v>
      </c>
      <c r="E509" s="6" t="inlineStr">
        <is>
          <t>LC 123/2006, art. 13, §1º, XIII, a, e art. 18, §4º-A, I; Res. CGSN 140/2018, art. 25</t>
        </is>
      </c>
    </row>
    <row r="510">
      <c r="A510" s="5" t="inlineStr">
        <is>
          <t>REC1</t>
        </is>
      </c>
      <c r="B510" s="6" t="inlineStr">
        <is>
          <t>PIS/Cofins pagos a mais no período</t>
        </is>
      </c>
      <c r="C510" s="6" t="inlineStr">
        <is>
          <t>soma dos meses</t>
        </is>
      </c>
      <c r="D510" s="7" t="n">
        <v>136.79</v>
      </c>
      <c r="E510" s="6" t="inlineStr">
        <is>
          <t>LC 123/2006, art. 18, §4º-A, I; Res. CGSN 140/2018, art. 25</t>
        </is>
      </c>
    </row>
    <row r="511">
      <c r="A511" s="5" t="inlineStr">
        <is>
          <t>REC1</t>
        </is>
      </c>
      <c r="B511" s="6" t="inlineStr">
        <is>
          <t>ICMS pago a mais no período</t>
        </is>
      </c>
      <c r="C511" s="6" t="inlineStr">
        <is>
          <t>soma dos meses</t>
        </is>
      </c>
      <c r="D511" s="7" t="n">
        <v>591.28</v>
      </c>
      <c r="E511" s="6" t="inlineStr">
        <is>
          <t>LC 123/2006, art. 13, §1º, XIII, a, e art. 18, §4º-A, I; Res. CGSN 140/2018, art. 25</t>
        </is>
      </c>
    </row>
    <row r="512">
      <c r="A512" s="5" t="inlineStr">
        <is>
          <t>REC1</t>
        </is>
      </c>
      <c r="B512" s="6" t="inlineStr">
        <is>
          <t>Economia por ano daqui para frente</t>
        </is>
      </c>
      <c r="C512" s="6" t="inlineStr">
        <is>
          <t>média mensal dos últimos 12 meses x 12</t>
        </is>
      </c>
      <c r="D512" s="7" t="n">
        <v>728.0700000000001</v>
      </c>
      <c r="E512" s="6" t="inlineStr">
        <is>
          <t>LC 123/2006, art. 18, §4º-A, I; Res. CGSN 140/2018, art. 25</t>
        </is>
      </c>
    </row>
    <row r="513">
      <c r="A513" s="5" t="inlineStr">
        <is>
          <t>REC2</t>
        </is>
      </c>
      <c r="B513" s="6" t="inlineStr">
        <is>
          <t>Venda de itens monofásicos (provável)</t>
        </is>
      </c>
      <c r="C513" s="6" t="inlineStr">
        <is>
          <t>soma dos itens com CST PIS 04 ou NCM da lista</t>
        </is>
      </c>
      <c r="D513" s="7" t="n">
        <v>10000</v>
      </c>
      <c r="E513" s="6" t="inlineStr">
        <is>
          <t>LC 123/2006, art. 18, §4º-A, I; Res. CGSN 140/2018, art. 25</t>
        </is>
      </c>
    </row>
    <row r="514">
      <c r="A514" s="5" t="inlineStr">
        <is>
          <t>REC2</t>
        </is>
      </c>
      <c r="B514" s="6" t="inlineStr">
        <is>
          <t>Venda de itens com ICMS-ST (provável)</t>
        </is>
      </c>
      <c r="C514" s="6" t="inlineStr">
        <is>
          <t>soma dos itens com CSOSN 500/201/202/203, CST 10/30/60/70 ou CFOP de ST</t>
        </is>
      </c>
      <c r="D514" s="7" t="n">
        <v>10000</v>
      </c>
      <c r="E514" s="6" t="inlineStr">
        <is>
          <t>LC 123/2006, art. 13, §1º, XIII, a, e art. 18, §4º-A, I; Res. CGSN 140/2018, art. 25</t>
        </is>
      </c>
    </row>
    <row r="515">
      <c r="A515" s="5" t="inlineStr">
        <is>
          <t>REC2</t>
        </is>
      </c>
      <c r="B515" s="6" t="inlineStr">
        <is>
          <t>Exemplo: 01/2026 - RBT12</t>
        </is>
      </c>
      <c r="C515" s="6" t="inlineStr">
        <is>
          <t>soma da receita dos 12 meses anteriores</t>
        </is>
      </c>
      <c r="D515" s="7" t="n">
        <v>4800000</v>
      </c>
      <c r="E515" s="6" t="inlineStr">
        <is>
          <t>LC 123/2006, art. 3º, §§ 1º e 2º, e art. 18, §1º</t>
        </is>
      </c>
    </row>
    <row r="516">
      <c r="A516" s="5" t="inlineStr">
        <is>
          <t>REC2</t>
        </is>
      </c>
      <c r="B516" s="6" t="inlineStr">
        <is>
          <t>Exemplo: 01/2026 - alíquota efetiva (faixa 6)</t>
        </is>
      </c>
      <c r="C516" s="6" t="inlineStr">
        <is>
          <t>(RBT12 x alíquota nominal - parcela a deduzir) / RBT12</t>
        </is>
      </c>
      <c r="D516" s="7" t="n">
        <v>0.11125</v>
      </c>
      <c r="E516" s="6" t="inlineStr">
        <is>
          <t>LC 123/2006, art. 18, §1º</t>
        </is>
      </c>
    </row>
    <row r="517">
      <c r="A517" s="5" t="inlineStr">
        <is>
          <t>REC2</t>
        </is>
      </c>
      <c r="B517" s="6" t="inlineStr">
        <is>
          <t>Exemplo: 01/2026 - percentual de PIS+Cofins na repartição da faixa</t>
        </is>
      </c>
      <c r="C517" s="6" t="inlineStr">
        <is>
          <t>% de PIS + % de Cofins da faixa</t>
        </is>
      </c>
      <c r="D517" s="7" t="n">
        <v>0.344</v>
      </c>
      <c r="E517" s="6" t="inlineStr">
        <is>
          <t>LC 123/2006, Anexos I e II (repartição)</t>
        </is>
      </c>
    </row>
    <row r="518">
      <c r="A518" s="5" t="inlineStr">
        <is>
          <t>REC2</t>
        </is>
      </c>
      <c r="B518" s="6" t="inlineStr">
        <is>
          <t>Exemplo: 01/2026 - percentual de ICMS na repartição da faixa</t>
        </is>
      </c>
      <c r="C518" s="6" t="inlineStr">
        <is>
          <t>% de ICMS da faixa</t>
        </is>
      </c>
      <c r="D518" s="7" t="n">
        <v>0</v>
      </c>
      <c r="E518" s="6" t="inlineStr">
        <is>
          <t>LC 123/2006, Anexos I e II (repartição)</t>
        </is>
      </c>
    </row>
    <row r="519">
      <c r="A519" s="5" t="inlineStr">
        <is>
          <t>REC2</t>
        </is>
      </c>
      <c r="B519" s="6" t="inlineStr">
        <is>
          <t>Exemplo: 01/2026 - PIS/Cofins pagos a mais</t>
        </is>
      </c>
      <c r="C519" s="6" t="inlineStr">
        <is>
          <t>R$ 10.000,00 x 11,1250% x 34,40%</t>
        </is>
      </c>
      <c r="D519" s="7" t="n">
        <v>382.7</v>
      </c>
      <c r="E519" s="6" t="inlineStr">
        <is>
          <t>LC 123/2006, art. 18, §4º-A, I; Res. CGSN 140/2018, art. 25</t>
        </is>
      </c>
    </row>
    <row r="520">
      <c r="A520" s="5" t="inlineStr">
        <is>
          <t>REC2</t>
        </is>
      </c>
      <c r="B520" s="6" t="inlineStr">
        <is>
          <t>Exemplo: 01/2026 - ICMS pago a mais</t>
        </is>
      </c>
      <c r="C520" s="6" t="inlineStr">
        <is>
          <t>R$ 10.000,00 x 11,1250% x 0,00%</t>
        </is>
      </c>
      <c r="D520" s="7" t="n">
        <v>0</v>
      </c>
      <c r="E520" s="6" t="inlineStr">
        <is>
          <t>LC 123/2006, art. 13, §1º, XIII, a, e art. 18, §4º-A, I; Res. CGSN 140/2018, art. 25</t>
        </is>
      </c>
    </row>
    <row r="521">
      <c r="A521" s="5" t="inlineStr">
        <is>
          <t>REC2</t>
        </is>
      </c>
      <c r="B521" s="6" t="inlineStr">
        <is>
          <t>PIS/Cofins pagos a mais no período</t>
        </is>
      </c>
      <c r="C521" s="6" t="inlineStr">
        <is>
          <t>soma dos meses</t>
        </is>
      </c>
      <c r="D521" s="7" t="n">
        <v>382.7</v>
      </c>
      <c r="E521" s="6" t="inlineStr">
        <is>
          <t>LC 123/2006, art. 18, §4º-A, I; Res. CGSN 140/2018, art. 25</t>
        </is>
      </c>
    </row>
    <row r="522">
      <c r="A522" s="5" t="inlineStr">
        <is>
          <t>REC2</t>
        </is>
      </c>
      <c r="B522" s="6" t="inlineStr">
        <is>
          <t>ICMS pago a mais no período</t>
        </is>
      </c>
      <c r="C522" s="6" t="inlineStr">
        <is>
          <t>soma dos meses</t>
        </is>
      </c>
      <c r="D522" s="7" t="n">
        <v>0</v>
      </c>
      <c r="E522" s="6" t="inlineStr">
        <is>
          <t>LC 123/2006, art. 13, §1º, XIII, a, e art. 18, §4º-A, I; Res. CGSN 140/2018, art. 25</t>
        </is>
      </c>
    </row>
    <row r="523">
      <c r="A523" s="5" t="inlineStr">
        <is>
          <t>REC2</t>
        </is>
      </c>
      <c r="B523" s="6" t="inlineStr">
        <is>
          <t>Economia por ano daqui para frente</t>
        </is>
      </c>
      <c r="C523" s="6" t="inlineStr">
        <is>
          <t>média mensal dos últimos 12 meses x 12</t>
        </is>
      </c>
      <c r="D523" s="7" t="n">
        <v>382.7</v>
      </c>
      <c r="E523" s="6" t="inlineStr">
        <is>
          <t>LC 123/2006, art. 18, §4º-A, I; Res. CGSN 140/2018, art. 25</t>
        </is>
      </c>
    </row>
    <row r="524">
      <c r="A524" s="5" t="inlineStr">
        <is>
          <t>REC3</t>
        </is>
      </c>
      <c r="B524" s="6" t="inlineStr">
        <is>
          <t>Venda de itens monofásicos (provável)</t>
        </is>
      </c>
      <c r="C524" s="6" t="inlineStr">
        <is>
          <t>soma dos itens com CST PIS 04 ou NCM da lista</t>
        </is>
      </c>
      <c r="D524" s="7" t="n">
        <v>8000</v>
      </c>
      <c r="E524" s="6" t="inlineStr">
        <is>
          <t>LC 123/2006, art. 18, §4º-A, I; Res. CGSN 140/2018, art. 25</t>
        </is>
      </c>
    </row>
    <row r="525">
      <c r="A525" s="5" t="inlineStr">
        <is>
          <t>REC3</t>
        </is>
      </c>
      <c r="B525" s="6" t="inlineStr">
        <is>
          <t>Venda de itens com ICMS-ST (provável)</t>
        </is>
      </c>
      <c r="C525" s="6" t="inlineStr">
        <is>
          <t>soma dos itens com CSOSN 500/201/202/203, CST 10/30/60/70 ou CFOP de ST</t>
        </is>
      </c>
      <c r="D525" s="7" t="n">
        <v>12000</v>
      </c>
      <c r="E525" s="6" t="inlineStr">
        <is>
          <t>LC 123/2006, art. 13, §1º, XIII, a, e art. 18, §4º-A, I; Res. CGSN 140/2018, art. 25</t>
        </is>
      </c>
    </row>
    <row r="526">
      <c r="A526" s="5" t="inlineStr">
        <is>
          <t>REC3</t>
        </is>
      </c>
      <c r="B526" s="6" t="inlineStr">
        <is>
          <t>Exemplo: 01/2026 - RBT12</t>
        </is>
      </c>
      <c r="C526" s="6" t="inlineStr">
        <is>
          <t>soma da receita dos 12 meses anteriores</t>
        </is>
      </c>
      <c r="D526" s="7" t="n">
        <v>600000</v>
      </c>
      <c r="E526" s="6" t="inlineStr">
        <is>
          <t>LC 123/2006, art. 3º, §§ 1º e 2º, e art. 18, §1º</t>
        </is>
      </c>
    </row>
    <row r="527">
      <c r="A527" s="5" t="inlineStr">
        <is>
          <t>REC3</t>
        </is>
      </c>
      <c r="B527" s="6" t="inlineStr">
        <is>
          <t>Exemplo: 01/2026 - alíquota efetiva (faixa 3)</t>
        </is>
      </c>
      <c r="C527" s="6" t="inlineStr">
        <is>
          <t>(RBT12 x alíquota nominal - parcela a deduzir) / RBT12</t>
        </is>
      </c>
      <c r="D527" s="7" t="n">
        <v>0.0769</v>
      </c>
      <c r="E527" s="6" t="inlineStr">
        <is>
          <t>LC 123/2006, art. 18, §1º</t>
        </is>
      </c>
    </row>
    <row r="528">
      <c r="A528" s="5" t="inlineStr">
        <is>
          <t>REC3</t>
        </is>
      </c>
      <c r="B528" s="6" t="inlineStr">
        <is>
          <t>Exemplo: 01/2026 - percentual de PIS+Cofins na repartição da faixa</t>
        </is>
      </c>
      <c r="C528" s="6" t="inlineStr">
        <is>
          <t>% de PIS + % de Cofins da faixa</t>
        </is>
      </c>
      <c r="D528" s="7" t="n">
        <v>0.14</v>
      </c>
      <c r="E528" s="6" t="inlineStr">
        <is>
          <t>LC 123/2006, Anexos I e II (repartição)</t>
        </is>
      </c>
    </row>
    <row r="529">
      <c r="A529" s="5" t="inlineStr">
        <is>
          <t>REC3</t>
        </is>
      </c>
      <c r="B529" s="6" t="inlineStr">
        <is>
          <t>Exemplo: 01/2026 - percentual de ICMS na repartição da faixa</t>
        </is>
      </c>
      <c r="C529" s="6" t="inlineStr">
        <is>
          <t>% de ICMS da faixa</t>
        </is>
      </c>
      <c r="D529" s="7" t="n">
        <v>0.32</v>
      </c>
      <c r="E529" s="6" t="inlineStr">
        <is>
          <t>LC 123/2006, Anexos I e II (repartição)</t>
        </is>
      </c>
    </row>
    <row r="530">
      <c r="A530" s="5" t="inlineStr">
        <is>
          <t>REC3</t>
        </is>
      </c>
      <c r="B530" s="6" t="inlineStr">
        <is>
          <t>Exemplo: 01/2026 - PIS/Cofins pagos a mais</t>
        </is>
      </c>
      <c r="C530" s="6" t="inlineStr">
        <is>
          <t>R$ 8.000,00 x 7,6900% x 14,00%</t>
        </is>
      </c>
      <c r="D530" s="7" t="n">
        <v>86.13</v>
      </c>
      <c r="E530" s="6" t="inlineStr">
        <is>
          <t>LC 123/2006, art. 18, §4º-A, I; Res. CGSN 140/2018, art. 25</t>
        </is>
      </c>
    </row>
    <row r="531">
      <c r="A531" s="5" t="inlineStr">
        <is>
          <t>REC3</t>
        </is>
      </c>
      <c r="B531" s="6" t="inlineStr">
        <is>
          <t>Exemplo: 01/2026 - ICMS pago a mais</t>
        </is>
      </c>
      <c r="C531" s="6" t="inlineStr">
        <is>
          <t>R$ 12.000,00 x 7,6900% x 32,00%</t>
        </is>
      </c>
      <c r="D531" s="7" t="n">
        <v>295.3</v>
      </c>
      <c r="E531" s="6" t="inlineStr">
        <is>
          <t>LC 123/2006, art. 13, §1º, XIII, a, e art. 18, §4º-A, I; Res. CGSN 140/2018, art. 25</t>
        </is>
      </c>
    </row>
    <row r="532">
      <c r="A532" s="5" t="inlineStr">
        <is>
          <t>REC3</t>
        </is>
      </c>
      <c r="B532" s="6" t="inlineStr">
        <is>
          <t>PIS/Cofins pagos a mais no período</t>
        </is>
      </c>
      <c r="C532" s="6" t="inlineStr">
        <is>
          <t>soma dos meses</t>
        </is>
      </c>
      <c r="D532" s="7" t="n">
        <v>86.13</v>
      </c>
      <c r="E532" s="6" t="inlineStr">
        <is>
          <t>LC 123/2006, art. 18, §4º-A, I; Res. CGSN 140/2018, art. 25</t>
        </is>
      </c>
    </row>
    <row r="533">
      <c r="A533" s="5" t="inlineStr">
        <is>
          <t>REC3</t>
        </is>
      </c>
      <c r="B533" s="6" t="inlineStr">
        <is>
          <t>ICMS pago a mais no período</t>
        </is>
      </c>
      <c r="C533" s="6" t="inlineStr">
        <is>
          <t>soma dos meses</t>
        </is>
      </c>
      <c r="D533" s="7" t="n">
        <v>295.3</v>
      </c>
      <c r="E533" s="6" t="inlineStr">
        <is>
          <t>LC 123/2006, art. 13, §1º, XIII, a, e art. 18, §4º-A, I; Res. CGSN 140/2018, art. 25</t>
        </is>
      </c>
    </row>
    <row r="534">
      <c r="A534" s="5" t="inlineStr">
        <is>
          <t>REC3</t>
        </is>
      </c>
      <c r="B534" s="6" t="inlineStr">
        <is>
          <t>Economia por ano daqui para frente</t>
        </is>
      </c>
      <c r="C534" s="6" t="inlineStr">
        <is>
          <t>média mensal dos últimos 12 meses x 12</t>
        </is>
      </c>
      <c r="D534" s="7" t="n">
        <v>381.43</v>
      </c>
      <c r="E534" s="6" t="inlineStr">
        <is>
          <t>LC 123/2006, art. 18, §4º-A, I; Res. CGSN 140/2018, art. 25</t>
        </is>
      </c>
    </row>
  </sheetData>
  <autoFilter ref="A1:E5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6"/>
  <sheetViews>
    <sheetView workbookViewId="0">
      <pane ySplit="1" topLeftCell="A2" activePane="bottomLeft" state="frozen"/>
      <selection pane="bottomLeft" activeCell="A1" sqref="A1"/>
    </sheetView>
  </sheetViews>
  <sheetFormatPr baseColWidth="8" defaultRowHeight="15"/>
  <cols>
    <col width="11" customWidth="1" min="1" max="1"/>
    <col width="140" customWidth="1" min="2" max="2"/>
  </cols>
  <sheetData>
    <row r="1" ht="30" customHeight="1">
      <c r="A1" s="4" t="inlineStr">
        <is>
          <t>Caso</t>
        </is>
      </c>
      <c r="B1" s="4" t="inlineStr">
        <is>
          <t>Alerta / premissa</t>
        </is>
      </c>
    </row>
    <row r="2">
      <c r="A2" s="6" t="inlineStr">
        <is>
          <t>E1-SN</t>
        </is>
      </c>
      <c r="B2" s="6" t="inlineStr">
        <is>
          <t>Fator R abaixo de 28%: acrescentar cerca de R$ 360,00/mês de pró-labore levaria ao Anexo III. Compare o custo do INSS sobre esse pró-labore.</t>
        </is>
      </c>
    </row>
    <row r="3">
      <c r="A3" s="6" t="inlineStr">
        <is>
          <t>E1-SN</t>
        </is>
      </c>
      <c r="B3" s="6" t="inlineStr">
        <is>
          <t>Estimativa com faturamento mensal constante; o DAS real varia mês a mês com o RBT12.</t>
        </is>
      </c>
    </row>
    <row r="4">
      <c r="A4" s="6" t="inlineStr">
        <is>
          <t>E1-LR</t>
        </is>
      </c>
      <c r="B4" s="6" t="inlineStr">
        <is>
          <t>Estimativa gerencial: considera todo o estoque comprado como vendido no ano e não detalha adições/exclusões do LALUR além das informadas.</t>
        </is>
      </c>
    </row>
    <row r="5">
      <c r="A5" s="6" t="inlineStr">
        <is>
          <t>E2-SN</t>
        </is>
      </c>
      <c r="B5" s="6" t="inlineStr">
        <is>
          <t>Estimativa com faturamento mensal constante; o DAS real varia mês a mês com o RBT12.</t>
        </is>
      </c>
    </row>
    <row r="6">
      <c r="A6" s="6" t="inlineStr">
        <is>
          <t>E2-LR</t>
        </is>
      </c>
      <c r="B6" s="6" t="inlineStr">
        <is>
          <t>Estimativa gerencial: considera todo o estoque comprado como vendido no ano e não detalha adições/exclusões do LALUR além das informadas.</t>
        </is>
      </c>
    </row>
    <row r="7">
      <c r="A7" s="6" t="inlineStr">
        <is>
          <t>E3-SN</t>
        </is>
      </c>
      <c r="B7" s="6" t="inlineStr">
        <is>
          <t>Estimativa com faturamento mensal constante; o DAS real varia mês a mês com o RBT12.</t>
        </is>
      </c>
    </row>
    <row r="8">
      <c r="A8" s="6" t="inlineStr">
        <is>
          <t>E3-LR</t>
        </is>
      </c>
      <c r="B8" s="6" t="inlineStr">
        <is>
          <t>Prejuízo fiscal: IRPJ/CSLL zerados; o prejuízo compensa até 30% de lucros futuros.</t>
        </is>
      </c>
    </row>
    <row r="9">
      <c r="A9" s="6" t="inlineStr">
        <is>
          <t>E3-LR</t>
        </is>
      </c>
      <c r="B9" s="6" t="inlineStr">
        <is>
          <t>Estimativa gerencial: considera todo o estoque comprado como vendido no ano e não detalha adições/exclusões do LALUR além das informadas.</t>
        </is>
      </c>
    </row>
    <row r="10">
      <c r="A10" s="6" t="inlineStr">
        <is>
          <t>E4-SN</t>
        </is>
      </c>
      <c r="B10" s="6" t="inlineStr">
        <is>
          <t>Estimativa com faturamento mensal constante; o DAS real varia mês a mês com o RBT12.</t>
        </is>
      </c>
    </row>
    <row r="11">
      <c r="A11" s="6" t="inlineStr">
        <is>
          <t>E4-LR</t>
        </is>
      </c>
      <c r="B11" s="6" t="inlineStr">
        <is>
          <t>Prejuízo fiscal: IRPJ/CSLL zerados; o prejuízo compensa até 30% de lucros futuros.</t>
        </is>
      </c>
    </row>
    <row r="12">
      <c r="A12" s="6" t="inlineStr">
        <is>
          <t>E4-LR</t>
        </is>
      </c>
      <c r="B12" s="6" t="inlineStr">
        <is>
          <t>Estimativa gerencial: considera todo o estoque comprado como vendido no ano e não detalha adições/exclusões do LALUR além das informadas.</t>
        </is>
      </c>
    </row>
    <row r="13">
      <c r="A13" s="6" t="inlineStr">
        <is>
          <t>E5-SN</t>
        </is>
      </c>
      <c r="B13" s="6" t="inlineStr">
        <is>
          <t>Estimativa com faturamento mensal constante; o DAS real varia mês a mês com o RBT12.</t>
        </is>
      </c>
    </row>
    <row r="14">
      <c r="A14" s="6" t="inlineStr">
        <is>
          <t>E5-LR</t>
        </is>
      </c>
      <c r="B14" s="6" t="inlineStr">
        <is>
          <t>Estimativa gerencial: considera todo o estoque comprado como vendido no ano e não detalha adições/exclusões do LALUR além das informadas.</t>
        </is>
      </c>
    </row>
    <row r="15">
      <c r="A15" s="6" t="inlineStr">
        <is>
          <t>E6-SN</t>
        </is>
      </c>
      <c r="B15" s="6" t="inlineStr">
        <is>
          <t>Receita acima de R$ 4.800.000,00: empresa não pode optar pelo Simples.</t>
        </is>
      </c>
    </row>
    <row r="16">
      <c r="A16" s="6" t="inlineStr">
        <is>
          <t>E6-LP</t>
        </is>
      </c>
      <c r="B16" s="6" t="inlineStr">
        <is>
          <t>Aplicado o acréscimo de 10% na presunção (LC 224/2025) sobre a receita acima de R$ 5 mi/ano. A regra é questionada no STF (ADIs 7920 e 7936) e há liminares afastando-a; confirme a situação do cliente.</t>
        </is>
      </c>
    </row>
    <row r="17">
      <c r="A17" s="6" t="inlineStr">
        <is>
          <t>E6-LR</t>
        </is>
      </c>
      <c r="B17" s="6" t="inlineStr">
        <is>
          <t>Estimativa gerencial: considera todo o estoque comprado como vendido no ano e não detalha adições/exclusões do LALUR além das informadas.</t>
        </is>
      </c>
    </row>
    <row r="18">
      <c r="A18" s="6" t="inlineStr">
        <is>
          <t>E7-SN</t>
        </is>
      </c>
      <c r="B18" s="6" t="inlineStr">
        <is>
          <t>Fator R abaixo de 28%: acrescentar cerca de R$ 10.500,00/mês de pró-labore levaria ao Anexo III. Compare o custo do INSS sobre esse pró-labore.</t>
        </is>
      </c>
    </row>
    <row r="19">
      <c r="A19" s="6" t="inlineStr">
        <is>
          <t>E7-SN</t>
        </is>
      </c>
      <c r="B19" s="6" t="inlineStr">
        <is>
          <t>Estimativa com faturamento mensal constante; o DAS real varia mês a mês com o RBT12.</t>
        </is>
      </c>
    </row>
    <row r="20">
      <c r="A20" s="6" t="inlineStr">
        <is>
          <t>E7-LR</t>
        </is>
      </c>
      <c r="B20" s="6" t="inlineStr">
        <is>
          <t>Estimativa gerencial: considera todo o estoque comprado como vendido no ano e não detalha adições/exclusões do LALUR além das informadas.</t>
        </is>
      </c>
    </row>
    <row r="21">
      <c r="A21" s="6" t="inlineStr">
        <is>
          <t>SOC1-B</t>
        </is>
      </c>
      <c r="B21" s="6" t="inlineStr">
        <is>
          <t>Dividendos pressupõem lucro contábil apurado (ou presumido menos tributos, sem escrituração) e distribuição aprovada.</t>
        </is>
      </c>
    </row>
    <row r="22">
      <c r="A22" s="6" t="inlineStr">
        <is>
          <t>SOC2-B</t>
        </is>
      </c>
      <c r="B22" s="6" t="inlineStr">
        <is>
          <t>Dividendos pressupõem lucro contábil apurado (ou presumido menos tributos, sem escrituração) e distribuição aprovada.</t>
        </is>
      </c>
    </row>
    <row r="23">
      <c r="A23" s="6" t="inlineStr">
        <is>
          <t>SOC3-B</t>
        </is>
      </c>
      <c r="B23" s="6" t="inlineStr">
        <is>
          <t>Dividendos pressupõem lucro contábil apurado (ou presumido menos tributos, sem escrituração) e distribuição aprovada.</t>
        </is>
      </c>
    </row>
    <row r="24">
      <c r="A24" s="6" t="inlineStr">
        <is>
          <t>SOC3-B</t>
        </is>
      </c>
      <c r="B24" s="6" t="inlineStr">
        <is>
          <t>Renda anual acima de R$ 600 mil: sujeito ao IRPFM (alíquota mínima estimada de 6,00% sobre a renda total, abatido o IR já pago e o redutor de carga da PJ). Não incluído no custo mensal.</t>
        </is>
      </c>
    </row>
    <row r="25">
      <c r="A25" s="6" t="inlineStr">
        <is>
          <t>RT1-2025</t>
        </is>
      </c>
      <c r="B25" s="6" t="inlineStr">
        <is>
          <t>Premissas: vendas sem tributos mantidas em R$ 1.567.000,00/ano e aquisições com crédito em R$ 873.000,00/ano; alíquotas de referência CBS 8,8% e IBS 17,7% (estimativas — a de 2027 depende de TCU/Senado); Imposto Seletivo não incluído.</t>
        </is>
      </c>
    </row>
    <row r="26">
      <c r="A26" s="6" t="inlineStr">
        <is>
          <t>RT2-2025</t>
        </is>
      </c>
      <c r="B26" s="6" t="inlineStr">
        <is>
          <t>Premissas: vendas sem tributos mantidas em R$ 1.096.200,00/ano e aquisições com crédito em R$ 108.900,00/ano; alíquotas de referência CBS 8,8% e IBS 17,7% (estimativas — a de 2027 depende de TCU/Senado); Imposto Seletivo não incluído.</t>
        </is>
      </c>
    </row>
    <row r="27">
      <c r="A27" s="6" t="inlineStr">
        <is>
          <t>RT3-2025</t>
        </is>
      </c>
      <c r="B27" s="6" t="inlineStr">
        <is>
          <t>Premissas: vendas sem tributos mantidas em R$ 548.100,00/ano e aquisições com crédito em R$ 54.450,00/ano; alíquotas de referência CBS 8,8% e IBS 17,7% (estimativas — a de 2027 depende de TCU/Senado); Imposto Seletivo não incluído.</t>
        </is>
      </c>
    </row>
    <row r="28">
      <c r="A28" s="6" t="inlineStr">
        <is>
          <t>RT4-2025</t>
        </is>
      </c>
      <c r="B28" s="6" t="inlineStr">
        <is>
          <t>Premissas: vendas sem tributos mantidas em R$ 2.182.500,00/ano e aquisições com crédito em R$ 1.236.750,00/ano; alíquotas de referência CBS 8,8% e IBS 17,7% (estimativas — a de 2027 depende de TCU/Senado); Imposto Seletivo não incluído.</t>
        </is>
      </c>
    </row>
    <row r="29">
      <c r="A29" s="6" t="inlineStr">
        <is>
          <t>SR1-2027</t>
        </is>
      </c>
      <c r="B29" s="6" t="inlineStr">
        <is>
          <t>A partilha do DAS a partir de 2027 será redefinida (LC 214/2025); o cálculo usa a partilha atual como aproximação da fatia de IBS/CBS.</t>
        </is>
      </c>
    </row>
    <row r="30">
      <c r="A30" s="6" t="inlineStr">
        <is>
          <t>SR1-2033</t>
        </is>
      </c>
      <c r="B30" s="6" t="inlineStr">
        <is>
          <t>2033: recolher por fora compensa mesmo sem vendas a empresas (créditos nas compras altos).</t>
        </is>
      </c>
    </row>
    <row r="31">
      <c r="A31" s="6" t="inlineStr">
        <is>
          <t>SR1-2033</t>
        </is>
      </c>
      <c r="B31" s="6" t="inlineStr">
        <is>
          <t>A partilha do DAS a partir de 2027 será redefinida (LC 214/2025); o cálculo usa a partilha atual como aproximação da fatia de IBS/CBS.</t>
        </is>
      </c>
    </row>
    <row r="32">
      <c r="A32" s="6" t="inlineStr">
        <is>
          <t>SR2-2027</t>
        </is>
      </c>
      <c r="B32" s="6" t="inlineStr">
        <is>
          <t>A partilha do DAS a partir de 2027 será redefinida (LC 214/2025); o cálculo usa a partilha atual como aproximação da fatia de IBS/CBS.</t>
        </is>
      </c>
    </row>
    <row r="33">
      <c r="A33" s="6" t="inlineStr">
        <is>
          <t>SR2-2033</t>
        </is>
      </c>
      <c r="B33" s="6" t="inlineStr">
        <is>
          <t>A partilha do DAS a partir de 2027 será redefinida (LC 214/2025); o cálculo usa a partilha atual como aproximação da fatia de IBS/CBS.</t>
        </is>
      </c>
    </row>
    <row r="34">
      <c r="A34" s="6" t="inlineStr">
        <is>
          <t>SR3-2027</t>
        </is>
      </c>
      <c r="B34" s="6" t="inlineStr">
        <is>
          <t>A partilha do DAS a partir de 2027 será redefinida (LC 214/2025); o cálculo usa a partilha atual como aproximação da fatia de IBS/CBS.</t>
        </is>
      </c>
    </row>
    <row r="35">
      <c r="A35" s="6" t="inlineStr">
        <is>
          <t>SR3-2033</t>
        </is>
      </c>
      <c r="B35" s="6" t="inlineStr">
        <is>
          <t>A partilha do DAS a partir de 2027 será redefinida (LC 214/2025); o cálculo usa a partilha atual como aproximação da fatia de IBS/CBS.</t>
        </is>
      </c>
    </row>
    <row r="36">
      <c r="A36" s="6" t="inlineStr">
        <is>
          <t>AU1-PF</t>
        </is>
      </c>
      <c r="B36" s="6" t="inlineStr">
        <is>
          <t>Quem presta serviço a empresas tem 11% de INSS retido e a empresa paga mais 20% (custo para o cliente).</t>
        </is>
      </c>
    </row>
    <row r="37">
      <c r="A37" s="6" t="inlineStr">
        <is>
          <t>AU1-MEI</t>
        </is>
      </c>
      <c r="B37" s="6" t="inlineStr">
        <is>
          <t>O lucro do MEI acima da parcela isenta (receita x 32% em serviços, 8% em comércio, ou o lucro escriturado) entra na declaração anual de IRPF.</t>
        </is>
      </c>
    </row>
    <row r="38">
      <c r="A38" s="6" t="inlineStr">
        <is>
          <t>AU1-SN</t>
        </is>
      </c>
      <c r="B38" s="6" t="inlineStr">
        <is>
          <t>Estimativa com faturamento mensal constante; o DAS real varia mês a mês com o RBT12.</t>
        </is>
      </c>
    </row>
    <row r="39">
      <c r="A39" s="6" t="inlineStr">
        <is>
          <t>AU1-SN</t>
        </is>
      </c>
      <c r="B39" s="6" t="inlineStr">
        <is>
          <t>Comparados pró-labore mínimo e pró-labore para fator R de 28%; escolhido: Anexo III, pró-labore de R$ 1.680,01.</t>
        </is>
      </c>
    </row>
    <row r="40">
      <c r="A40" s="6" t="inlineStr">
        <is>
          <t>AU2-PF</t>
        </is>
      </c>
      <c r="B40" s="6" t="inlineStr">
        <is>
          <t>Livro-caixa só é dedutível para quem recebe de pessoas físicas e escritura as despesas; substitui o desconto simplificado quando for maior.</t>
        </is>
      </c>
    </row>
    <row r="41">
      <c r="A41" s="6" t="inlineStr">
        <is>
          <t>AU2-PF</t>
        </is>
      </c>
      <c r="B41" s="6" t="inlineStr">
        <is>
          <t>Quem presta serviço a empresas tem 11% de INSS retido e a empresa paga mais 20% (custo para o cliente).</t>
        </is>
      </c>
    </row>
    <row r="42">
      <c r="A42" s="6" t="inlineStr">
        <is>
          <t>AU2-SN</t>
        </is>
      </c>
      <c r="B42" s="6" t="inlineStr">
        <is>
          <t>Estimativa com faturamento mensal constante; o DAS real varia mês a mês com o RBT12.</t>
        </is>
      </c>
    </row>
    <row r="43">
      <c r="A43" s="6" t="inlineStr">
        <is>
          <t>AU2-SN</t>
        </is>
      </c>
      <c r="B43" s="6" t="inlineStr">
        <is>
          <t>Comparados pró-labore mínimo e pró-labore para fator R de 28%; escolhido: Anexo III, pró-labore de R$ 4.200,01.</t>
        </is>
      </c>
    </row>
    <row r="44">
      <c r="A44" s="6" t="inlineStr">
        <is>
          <t>AU3-PF</t>
        </is>
      </c>
      <c r="B44" s="6" t="inlineStr">
        <is>
          <t>Quem presta serviço a empresas tem 11% de INSS retido e a empresa paga mais 20% (custo para o cliente).</t>
        </is>
      </c>
    </row>
    <row r="45">
      <c r="A45" s="6" t="inlineStr">
        <is>
          <t>AU3-SN</t>
        </is>
      </c>
      <c r="B45" s="6" t="inlineStr">
        <is>
          <t>Estimativa com faturamento mensal constante; o DAS real varia mês a mês com o RBT12.</t>
        </is>
      </c>
    </row>
    <row r="46">
      <c r="A46" s="6" t="inlineStr">
        <is>
          <t>AU3-SN</t>
        </is>
      </c>
      <c r="B46" s="6" t="inlineStr">
        <is>
          <t>Comparados pró-labore mínimo e pró-labore para fator R de 28%; escolhido: Anexo III, pró-labore de R$ 11.200,01.</t>
        </is>
      </c>
    </row>
    <row r="47">
      <c r="A47" s="6" t="inlineStr">
        <is>
          <t>REC1</t>
        </is>
      </c>
      <c r="B47" s="6" t="inlineStr">
        <is>
          <t>Indício, não certeza: a estimativa supõe que a receita desses itens foi declarada no PGDAS-D sem segregação. Confira o que foi declarado em cada mês antes de retificar.</t>
        </is>
      </c>
    </row>
    <row r="48">
      <c r="A48" s="6" t="inlineStr">
        <is>
          <t>REC1</t>
        </is>
      </c>
      <c r="B48" s="6" t="inlineStr">
        <is>
          <t>A lista de NCM é inicial e precisa ser conferida na tabela oficial da Receita Federal; o NCM completo (subitem) define se o produto é monofásico.</t>
        </is>
      </c>
    </row>
    <row r="49">
      <c r="A49" s="6" t="inlineStr">
        <is>
          <t>REC1</t>
        </is>
      </c>
      <c r="B49" s="6" t="inlineStr">
        <is>
          <t>Valores recolhidos a maior podem ser compensados ou restituídos em até 5 anos (CTN, art. 168); o cálculo cobre apenas o período importado.</t>
        </is>
      </c>
    </row>
    <row r="50">
      <c r="A50" s="6" t="inlineStr">
        <is>
          <t>REC2</t>
        </is>
      </c>
      <c r="B50" s="6" t="inlineStr">
        <is>
          <t>Indício, não certeza: a estimativa supõe que a receita desses itens foi declarada no PGDAS-D sem segregação. Confira o que foi declarado em cada mês antes de retificar.</t>
        </is>
      </c>
    </row>
    <row r="51">
      <c r="A51" s="6" t="inlineStr">
        <is>
          <t>REC2</t>
        </is>
      </c>
      <c r="B51" s="6" t="inlineStr">
        <is>
          <t>A lista de NCM é inicial e precisa ser conferida na tabela oficial da Receita Federal; o NCM completo (subitem) define se o produto é monofásico.</t>
        </is>
      </c>
    </row>
    <row r="52">
      <c r="A52" s="6" t="inlineStr">
        <is>
          <t>REC2</t>
        </is>
      </c>
      <c r="B52" s="6" t="inlineStr">
        <is>
          <t>Em 2026-01 o ICMS já é recolhido fora do DAS (receita acima de R$ 3,6 milhões): não há economia de ICMS nesses meses.</t>
        </is>
      </c>
    </row>
    <row r="53">
      <c r="A53" s="6" t="inlineStr">
        <is>
          <t>REC2</t>
        </is>
      </c>
      <c r="B53" s="6" t="inlineStr">
        <is>
          <t>Valores recolhidos a maior podem ser compensados ou restituídos em até 5 anos (CTN, art. 168); o cálculo cobre apenas o período importado.</t>
        </is>
      </c>
    </row>
    <row r="54">
      <c r="A54" s="6" t="inlineStr">
        <is>
          <t>REC3</t>
        </is>
      </c>
      <c r="B54" s="6" t="inlineStr">
        <is>
          <t>Indício, não certeza: a estimativa supõe que a receita desses itens foi declarada no PGDAS-D sem segregação. Confira o que foi declarado em cada mês antes de retificar.</t>
        </is>
      </c>
    </row>
    <row r="55">
      <c r="A55" s="6" t="inlineStr">
        <is>
          <t>REC3</t>
        </is>
      </c>
      <c r="B55" s="6" t="inlineStr">
        <is>
          <t>A lista de NCM é inicial e precisa ser conferida na tabela oficial da Receita Federal; o NCM completo (subitem) define se o produto é monofásico.</t>
        </is>
      </c>
    </row>
    <row r="56">
      <c r="A56" s="6" t="inlineStr">
        <is>
          <t>REC3</t>
        </is>
      </c>
      <c r="B56" s="6" t="inlineStr">
        <is>
          <t>Valores recolhidos a maior podem ser compensados ou restituídos em até 5 anos (CTN, art. 168); o cálculo cobre apenas o período importado.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2026-10-13T18:56:06Z</dcterms:created>
  <dcterms:modified xsi:type="dcterms:W3CDTF">2026-10-13T18:56:07Z</dcterms:modified>
</cp:coreProperties>
</file>