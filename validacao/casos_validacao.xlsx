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'Casos'!$A$1:$I$342</definedName>
    <definedName name="_xlnm._FilterDatabase" localSheetId="2" hidden="1">'Memória de cálculo'!$A$1:$E$708</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26/10/2026 com o motor tolaris_motor. 85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42"/>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ENQ1</t>
        </is>
      </c>
      <c r="B225" s="5" t="inlineStr">
        <is>
          <t>Enquadramento: Anexo V ao III (2026)</t>
        </is>
      </c>
      <c r="C225" s="6" t="inlineStr">
        <is>
          <t>Serviços do fator R, pró-labore de R$ 3.000/mês e sem empregados (o caso do kit de teste); servico_fator_r; receita R$ 600.000,00/ano; pró-labore R$ 36.000,00; outras desp. R$ 60.000,00; ano 2026; ISS 5%; cenário próprio de 30% no Anexo III</t>
        </is>
      </c>
      <c r="D225" s="5" t="inlineStr">
        <is>
          <t>DAS - Como está hoje</t>
        </is>
      </c>
      <c r="E225" s="7" t="n">
        <v>107100</v>
      </c>
      <c r="F225" s="8" t="n"/>
      <c r="G225" s="7">
        <f>IF(F225="","",E225-F225)</f>
        <v/>
      </c>
      <c r="H225" s="5" t="n"/>
      <c r="I225" s="6" t="n"/>
    </row>
    <row r="226">
      <c r="A226" s="5" t="inlineStr">
        <is>
          <t>ENQ1</t>
        </is>
      </c>
      <c r="B226" s="5" t="inlineStr">
        <is>
          <t>Enquadramento: Anexo V ao III (2026)</t>
        </is>
      </c>
      <c r="C226" s="6" t="inlineStr">
        <is>
          <t>Serviços do fator R, pró-labore de R$ 3.000/mês e sem empregados (o caso do kit de teste); servico_fator_r; receita R$ 600.000,00/ano; pró-labore R$ 36.000,00; outras desp. R$ 60.000,00; ano 2026; ISS 5%; cenário próprio de 30% no Anexo III</t>
        </is>
      </c>
      <c r="D226" s="5" t="inlineStr">
        <is>
          <t>DAS - Pró-labore +R$ 11.000,00/mês (fator R de 28%)</t>
        </is>
      </c>
      <c r="E226" s="7" t="n">
        <v>63360</v>
      </c>
      <c r="F226" s="8" t="n"/>
      <c r="G226" s="7">
        <f>IF(F226="","",E226-F226)</f>
        <v/>
      </c>
      <c r="H226" s="5" t="n"/>
      <c r="I226" s="6" t="n"/>
    </row>
    <row r="227">
      <c r="A227" s="5" t="inlineStr">
        <is>
          <t>ENQ1</t>
        </is>
      </c>
      <c r="B227" s="5" t="inlineStr">
        <is>
          <t>Enquadramento: Anexo V ao III (2026)</t>
        </is>
      </c>
      <c r="C227" s="6" t="inlineStr">
        <is>
          <t>Serviços do fator R, pró-labore de R$ 3.000/mês e sem empregados (o caso do kit de teste); servico_fator_r; receita R$ 600.000,00/ano; pró-labore R$ 36.000,00; outras desp. R$ 60.000,00; ano 2026; ISS 5%; cenário próprio de 30% no Anexo III</t>
        </is>
      </c>
      <c r="D227" s="5" t="inlineStr">
        <is>
          <t>INSS do sócio sobre o pró-labore adicional (fator_r)</t>
        </is>
      </c>
      <c r="E227" s="7" t="n">
        <v>7227.72</v>
      </c>
      <c r="F227" s="8" t="n"/>
      <c r="G227" s="7">
        <f>IF(F227="","",E227-F227)</f>
        <v/>
      </c>
      <c r="H227" s="5" t="n"/>
      <c r="I227" s="6" t="n"/>
    </row>
    <row r="228">
      <c r="A228" s="5" t="inlineStr">
        <is>
          <t>ENQ1</t>
        </is>
      </c>
      <c r="B228" s="5" t="inlineStr">
        <is>
          <t>Enquadramento: Anexo V ao III (2026)</t>
        </is>
      </c>
      <c r="C228" s="6" t="inlineStr">
        <is>
          <t>Serviços do fator R, pró-labore de R$ 3.000/mês e sem empregados (o caso do kit de teste); servico_fator_r; receita R$ 600.000,00/ano; pró-labore R$ 36.000,00; outras desp. R$ 60.000,00; ano 2026; ISS 5%; cenário próprio de 30% no Anexo III</t>
        </is>
      </c>
      <c r="D228" s="5" t="inlineStr">
        <is>
          <t>DAS - 25% da receita em atividade do Anexo III (R$ 150.000,00)</t>
        </is>
      </c>
      <c r="E228" s="7" t="n">
        <v>96165</v>
      </c>
      <c r="F228" s="8" t="n"/>
      <c r="G228" s="7">
        <f>IF(F228="","",E228-F228)</f>
        <v/>
      </c>
      <c r="H228" s="5" t="n"/>
      <c r="I228" s="6" t="n"/>
    </row>
    <row r="229">
      <c r="A229" s="5" t="inlineStr">
        <is>
          <t>ENQ1</t>
        </is>
      </c>
      <c r="B229" s="5" t="inlineStr">
        <is>
          <t>Enquadramento: Anexo V ao III (2026)</t>
        </is>
      </c>
      <c r="C229" s="6" t="inlineStr">
        <is>
          <t>Serviços do fator R, pró-labore de R$ 3.000/mês e sem empregados (o caso do kit de teste); servico_fator_r; receita R$ 600.000,00/ano; pró-labore R$ 36.000,00; outras desp. R$ 60.000,00; ano 2026; ISS 5%; cenário próprio de 30% no Anexo III</t>
        </is>
      </c>
      <c r="D229" s="5" t="inlineStr">
        <is>
          <t>DAS - 30% da receita em atividade do Anexo III (R$ 180.000,00)</t>
        </is>
      </c>
      <c r="E229" s="7" t="n">
        <v>93978</v>
      </c>
      <c r="F229" s="8" t="n"/>
      <c r="G229" s="7">
        <f>IF(F229="","",E229-F229)</f>
        <v/>
      </c>
      <c r="H229" s="5" t="n"/>
      <c r="I229" s="6" t="n"/>
    </row>
    <row r="230">
      <c r="A230" s="5" t="inlineStr">
        <is>
          <t>ENQ1</t>
        </is>
      </c>
      <c r="B230" s="5" t="inlineStr">
        <is>
          <t>Enquadramento: Anexo V ao III (2026)</t>
        </is>
      </c>
      <c r="C230" s="6" t="inlineStr">
        <is>
          <t>Serviços do fator R, pró-labore de R$ 3.000/mês e sem empregados (o caso do kit de teste); servico_fator_r; receita R$ 600.000,00/ano; pró-labore R$ 36.000,00; outras desp. R$ 60.000,00; ano 2026; ISS 5%; cenário próprio de 30% no Anexo III</t>
        </is>
      </c>
      <c r="D230" s="5" t="inlineStr">
        <is>
          <t>DAS - 50% da receita em atividade do Anexo III (R$ 300.000,00)</t>
        </is>
      </c>
      <c r="E230" s="7" t="n">
        <v>85230</v>
      </c>
      <c r="F230" s="8" t="n"/>
      <c r="G230" s="7">
        <f>IF(F230="","",E230-F230)</f>
        <v/>
      </c>
      <c r="H230" s="5" t="n"/>
      <c r="I230" s="6" t="n"/>
    </row>
    <row r="231">
      <c r="A231" s="5" t="inlineStr">
        <is>
          <t>ENQ1</t>
        </is>
      </c>
      <c r="B231" s="5" t="inlineStr">
        <is>
          <t>Enquadramento: Anexo V ao III (2026)</t>
        </is>
      </c>
      <c r="C231" s="6" t="inlineStr">
        <is>
          <t>Serviços do fator R, pró-labore de R$ 3.000/mês e sem empregados (o caso do kit de teste); servico_fator_r; receita R$ 600.000,00/ano; pró-labore R$ 36.000,00; outras desp. R$ 60.000,00; ano 2026; ISS 5%; cenário próprio de 30% no Anexo III</t>
        </is>
      </c>
      <c r="D231" s="5" t="inlineStr">
        <is>
          <t>DAS - 100% da receita em atividade do Anexo III (R$ 600.000,00)</t>
        </is>
      </c>
      <c r="E231" s="7" t="n">
        <v>63360</v>
      </c>
      <c r="F231" s="8" t="n"/>
      <c r="G231" s="7">
        <f>IF(F231="","",E231-F231)</f>
        <v/>
      </c>
      <c r="H231" s="5" t="n"/>
      <c r="I231" s="6" t="n"/>
    </row>
    <row r="232">
      <c r="A232" s="13" t="inlineStr">
        <is>
          <t>ENQ2</t>
        </is>
      </c>
      <c r="B232" s="13" t="inlineStr">
        <is>
          <t>Enquadramento: Anexo V ao III (2026)</t>
        </is>
      </c>
      <c r="C232" s="14" t="inlineStr">
        <is>
          <t>Serviços do fator R com um empregado e pró-labore baixo; servico_fator_r; receita R$ 1.200.000,00/ano; folha CLT R$ 150.000,00; pró-labore R$ 48.000,00; outras desp. R$ 300.000,00; ano 2026; ISS 5%</t>
        </is>
      </c>
      <c r="D232" s="13" t="inlineStr">
        <is>
          <t>DAS - Como está hoje</t>
        </is>
      </c>
      <c r="E232" s="15" t="n">
        <v>228900</v>
      </c>
      <c r="F232" s="8" t="n"/>
      <c r="G232" s="15">
        <f>IF(F232="","",E232-F232)</f>
        <v/>
      </c>
      <c r="H232" s="13" t="n"/>
      <c r="I232" s="14" t="n"/>
    </row>
    <row r="233">
      <c r="A233" s="13" t="inlineStr">
        <is>
          <t>ENQ2</t>
        </is>
      </c>
      <c r="B233" s="13" t="inlineStr">
        <is>
          <t>Enquadramento: Anexo V ao III (2026)</t>
        </is>
      </c>
      <c r="C233" s="14" t="inlineStr">
        <is>
          <t>Serviços do fator R com um empregado e pró-labore baixo; servico_fator_r; receita R$ 1.200.000,00/ano; folha CLT R$ 150.000,00; pró-labore R$ 48.000,00; outras desp. R$ 300.000,00; ano 2026; ISS 5%</t>
        </is>
      </c>
      <c r="D233" s="13" t="inlineStr">
        <is>
          <t>DAS - Pró-labore +R$ 10.500,00/mês (fator R de 28%)</t>
        </is>
      </c>
      <c r="E233" s="15" t="n">
        <v>156360</v>
      </c>
      <c r="F233" s="8" t="n"/>
      <c r="G233" s="15">
        <f>IF(F233="","",E233-F233)</f>
        <v/>
      </c>
      <c r="H233" s="13" t="n"/>
      <c r="I233" s="14" t="n"/>
    </row>
    <row r="234">
      <c r="A234" s="13" t="inlineStr">
        <is>
          <t>ENQ2</t>
        </is>
      </c>
      <c r="B234" s="13" t="inlineStr">
        <is>
          <t>Enquadramento: Anexo V ao III (2026)</t>
        </is>
      </c>
      <c r="C234" s="14" t="inlineStr">
        <is>
          <t>Serviços do fator R com um empregado e pró-labore baixo; servico_fator_r; receita R$ 1.200.000,00/ano; folha CLT R$ 150.000,00; pró-labore R$ 48.000,00; outras desp. R$ 300.000,00; ano 2026; ISS 5%</t>
        </is>
      </c>
      <c r="D234" s="13" t="inlineStr">
        <is>
          <t>INSS do sócio sobre o pró-labore adicional (fator_r)</t>
        </is>
      </c>
      <c r="E234" s="15" t="n">
        <v>5907.72</v>
      </c>
      <c r="F234" s="8" t="n"/>
      <c r="G234" s="15">
        <f>IF(F234="","",E234-F234)</f>
        <v/>
      </c>
      <c r="H234" s="13" t="n"/>
      <c r="I234" s="14" t="n"/>
    </row>
    <row r="235">
      <c r="A235" s="13" t="inlineStr">
        <is>
          <t>ENQ2</t>
        </is>
      </c>
      <c r="B235" s="13" t="inlineStr">
        <is>
          <t>Enquadramento: Anexo V ao III (2026)</t>
        </is>
      </c>
      <c r="C235" s="14" t="inlineStr">
        <is>
          <t>Serviços do fator R com um empregado e pró-labore baixo; servico_fator_r; receita R$ 1.200.000,00/ano; folha CLT R$ 150.000,00; pró-labore R$ 48.000,00; outras desp. R$ 300.000,00; ano 2026; ISS 5%</t>
        </is>
      </c>
      <c r="D235" s="13" t="inlineStr">
        <is>
          <t>DAS - 25% da receita em atividade do Anexo III (R$ 300.000,00)</t>
        </is>
      </c>
      <c r="E235" s="15" t="n">
        <v>210765</v>
      </c>
      <c r="F235" s="8" t="n"/>
      <c r="G235" s="15">
        <f>IF(F235="","",E235-F235)</f>
        <v/>
      </c>
      <c r="H235" s="13" t="n"/>
      <c r="I235" s="14" t="n"/>
    </row>
    <row r="236">
      <c r="A236" s="13" t="inlineStr">
        <is>
          <t>ENQ2</t>
        </is>
      </c>
      <c r="B236" s="13" t="inlineStr">
        <is>
          <t>Enquadramento: Anexo V ao III (2026)</t>
        </is>
      </c>
      <c r="C236" s="14" t="inlineStr">
        <is>
          <t>Serviços do fator R com um empregado e pró-labore baixo; servico_fator_r; receita R$ 1.200.000,00/ano; folha CLT R$ 150.000,00; pró-labore R$ 48.000,00; outras desp. R$ 300.000,00; ano 2026; ISS 5%</t>
        </is>
      </c>
      <c r="D236" s="13" t="inlineStr">
        <is>
          <t>DAS - 50% da receita em atividade do Anexo III (R$ 600.000,00)</t>
        </is>
      </c>
      <c r="E236" s="15" t="n">
        <v>192630</v>
      </c>
      <c r="F236" s="8" t="n"/>
      <c r="G236" s="15">
        <f>IF(F236="","",E236-F236)</f>
        <v/>
      </c>
      <c r="H236" s="13" t="n"/>
      <c r="I236" s="14" t="n"/>
    </row>
    <row r="237">
      <c r="A237" s="13" t="inlineStr">
        <is>
          <t>ENQ2</t>
        </is>
      </c>
      <c r="B237" s="13" t="inlineStr">
        <is>
          <t>Enquadramento: Anexo V ao III (2026)</t>
        </is>
      </c>
      <c r="C237" s="14" t="inlineStr">
        <is>
          <t>Serviços do fator R com um empregado e pró-labore baixo; servico_fator_r; receita R$ 1.200.000,00/ano; folha CLT R$ 150.000,00; pró-labore R$ 48.000,00; outras desp. R$ 300.000,00; ano 2026; ISS 5%</t>
        </is>
      </c>
      <c r="D237" s="13" t="inlineStr">
        <is>
          <t>DAS - 100% da receita em atividade do Anexo III (R$ 1.200.000,00)</t>
        </is>
      </c>
      <c r="E237" s="15" t="n">
        <v>156360</v>
      </c>
      <c r="F237" s="8" t="n"/>
      <c r="G237" s="15">
        <f>IF(F237="","",E237-F237)</f>
        <v/>
      </c>
      <c r="H237" s="13" t="n"/>
      <c r="I237" s="14" t="n"/>
    </row>
    <row r="238">
      <c r="A238" s="5" t="inlineStr">
        <is>
          <t>ENQ3</t>
        </is>
      </c>
      <c r="B238" s="5" t="inlineStr">
        <is>
          <t>Enquadramento: Anexo V ao III (2026)</t>
        </is>
      </c>
      <c r="C238" s="6" t="inlineStr">
        <is>
          <t>Serviços do fator R, receita baixa e só pró-labore; servico_fator_r; receita R$ 300.000,00/ano; pró-labore R$ 24.000,00; outras desp. R$ 30.000,00; ano 2026; ISS 5%</t>
        </is>
      </c>
      <c r="D238" s="5" t="inlineStr">
        <is>
          <t>DAS - Como está hoje</t>
        </is>
      </c>
      <c r="E238" s="7" t="n">
        <v>49500</v>
      </c>
      <c r="F238" s="8" t="n"/>
      <c r="G238" s="7">
        <f>IF(F238="","",E238-F238)</f>
        <v/>
      </c>
      <c r="H238" s="5" t="n"/>
      <c r="I238" s="6" t="n"/>
    </row>
    <row r="239">
      <c r="A239" s="5" t="inlineStr">
        <is>
          <t>ENQ3</t>
        </is>
      </c>
      <c r="B239" s="5" t="inlineStr">
        <is>
          <t>Enquadramento: Anexo V ao III (2026)</t>
        </is>
      </c>
      <c r="C239" s="6" t="inlineStr">
        <is>
          <t>Serviços do fator R, receita baixa e só pró-labore; servico_fator_r; receita R$ 300.000,00/ano; pró-labore R$ 24.000,00; outras desp. R$ 30.000,00; ano 2026; ISS 5%</t>
        </is>
      </c>
      <c r="D239" s="5" t="inlineStr">
        <is>
          <t>DAS - Pró-labore +R$ 5.000,00/mês (fator R de 28%)</t>
        </is>
      </c>
      <c r="E239" s="7" t="n">
        <v>24240</v>
      </c>
      <c r="F239" s="8" t="n"/>
      <c r="G239" s="7">
        <f>IF(F239="","",E239-F239)</f>
        <v/>
      </c>
      <c r="H239" s="5" t="n"/>
      <c r="I239" s="6" t="n"/>
    </row>
    <row r="240">
      <c r="A240" s="5" t="inlineStr">
        <is>
          <t>ENQ3</t>
        </is>
      </c>
      <c r="B240" s="5" t="inlineStr">
        <is>
          <t>Enquadramento: Anexo V ao III (2026)</t>
        </is>
      </c>
      <c r="C240" s="6" t="inlineStr">
        <is>
          <t>Serviços do fator R, receita baixa e só pró-labore; servico_fator_r; receita R$ 300.000,00/ano; pró-labore R$ 24.000,00; outras desp. R$ 30.000,00; ano 2026; ISS 5%</t>
        </is>
      </c>
      <c r="D240" s="5" t="inlineStr">
        <is>
          <t>INSS do sócio sobre o pró-labore adicional (fator_r)</t>
        </is>
      </c>
      <c r="E240" s="7" t="n">
        <v>6600</v>
      </c>
      <c r="F240" s="8" t="n"/>
      <c r="G240" s="7">
        <f>IF(F240="","",E240-F240)</f>
        <v/>
      </c>
      <c r="H240" s="5" t="n"/>
      <c r="I240" s="6" t="n"/>
    </row>
    <row r="241">
      <c r="A241" s="5" t="inlineStr">
        <is>
          <t>ENQ3</t>
        </is>
      </c>
      <c r="B241" s="5" t="inlineStr">
        <is>
          <t>Enquadramento: Anexo V ao III (2026)</t>
        </is>
      </c>
      <c r="C241" s="6" t="inlineStr">
        <is>
          <t>Serviços do fator R, receita baixa e só pró-labore; servico_fator_r; receita R$ 300.000,00/ano; pró-labore R$ 24.000,00; outras desp. R$ 30.000,00; ano 2026; ISS 5%</t>
        </is>
      </c>
      <c r="D241" s="5" t="inlineStr">
        <is>
          <t>DAS - 25% da receita em atividade do Anexo III (R$ 75.000,00)</t>
        </is>
      </c>
      <c r="E241" s="7" t="n">
        <v>43185</v>
      </c>
      <c r="F241" s="8" t="n"/>
      <c r="G241" s="7">
        <f>IF(F241="","",E241-F241)</f>
        <v/>
      </c>
      <c r="H241" s="5" t="n"/>
      <c r="I241" s="6" t="n"/>
    </row>
    <row r="242">
      <c r="A242" s="5" t="inlineStr">
        <is>
          <t>ENQ3</t>
        </is>
      </c>
      <c r="B242" s="5" t="inlineStr">
        <is>
          <t>Enquadramento: Anexo V ao III (2026)</t>
        </is>
      </c>
      <c r="C242" s="6" t="inlineStr">
        <is>
          <t>Serviços do fator R, receita baixa e só pró-labore; servico_fator_r; receita R$ 300.000,00/ano; pró-labore R$ 24.000,00; outras desp. R$ 30.000,00; ano 2026; ISS 5%</t>
        </is>
      </c>
      <c r="D242" s="5" t="inlineStr">
        <is>
          <t>DAS - 50% da receita em atividade do Anexo III (R$ 150.000,00)</t>
        </is>
      </c>
      <c r="E242" s="7" t="n">
        <v>36870</v>
      </c>
      <c r="F242" s="8" t="n"/>
      <c r="G242" s="7">
        <f>IF(F242="","",E242-F242)</f>
        <v/>
      </c>
      <c r="H242" s="5" t="n"/>
      <c r="I242" s="6" t="n"/>
    </row>
    <row r="243">
      <c r="A243" s="5" t="inlineStr">
        <is>
          <t>ENQ3</t>
        </is>
      </c>
      <c r="B243" s="5" t="inlineStr">
        <is>
          <t>Enquadramento: Anexo V ao III (2026)</t>
        </is>
      </c>
      <c r="C243" s="6" t="inlineStr">
        <is>
          <t>Serviços do fator R, receita baixa e só pró-labore; servico_fator_r; receita R$ 300.000,00/ano; pró-labore R$ 24.000,00; outras desp. R$ 30.000,00; ano 2026; ISS 5%</t>
        </is>
      </c>
      <c r="D243" s="5" t="inlineStr">
        <is>
          <t>DAS - 100% da receita em atividade do Anexo III (R$ 300.000,00)</t>
        </is>
      </c>
      <c r="E243" s="7" t="n">
        <v>24240</v>
      </c>
      <c r="F243" s="8" t="n"/>
      <c r="G243" s="7">
        <f>IF(F243="","",E243-F243)</f>
        <v/>
      </c>
      <c r="H243" s="5" t="n"/>
      <c r="I243" s="6" t="n"/>
    </row>
    <row r="244">
      <c r="A244" s="13" t="inlineStr">
        <is>
          <t>ENQ4</t>
        </is>
      </c>
      <c r="B244" s="13" t="inlineStr">
        <is>
          <t>Enquadramento: Anexo V ao III (2026)</t>
        </is>
      </c>
      <c r="C244" s="14" t="inlineStr">
        <is>
          <t>Serviços do fator R, receita alta (5ª faixa) e fator R de 18,5%; servico_fator_r; receita R$ 2.400.000,00/ano; folha CLT R$ 300.000,00; pró-labore R$ 120.000,00; outras desp. R$ 600.000,00; ano 2026; ISS 5%</t>
        </is>
      </c>
      <c r="D244" s="13" t="inlineStr">
        <is>
          <t>DAS - Como está hoje</t>
        </is>
      </c>
      <c r="E244" s="15" t="n">
        <v>489900</v>
      </c>
      <c r="F244" s="8" t="n"/>
      <c r="G244" s="15">
        <f>IF(F244="","",E244-F244)</f>
        <v/>
      </c>
      <c r="H244" s="13" t="n"/>
      <c r="I244" s="14" t="n"/>
    </row>
    <row r="245">
      <c r="A245" s="13" t="inlineStr">
        <is>
          <t>ENQ4</t>
        </is>
      </c>
      <c r="B245" s="13" t="inlineStr">
        <is>
          <t>Enquadramento: Anexo V ao III (2026)</t>
        </is>
      </c>
      <c r="C245" s="14" t="inlineStr">
        <is>
          <t>Serviços do fator R, receita alta (5ª faixa) e fator R de 18,5%; servico_fator_r; receita R$ 2.400.000,00/ano; folha CLT R$ 300.000,00; pró-labore R$ 120.000,00; outras desp. R$ 600.000,00; ano 2026; ISS 5%</t>
        </is>
      </c>
      <c r="D245" s="13" t="inlineStr">
        <is>
          <t>DAS - Pró-labore +R$ 19.000,00/mês (fator R de 28%)</t>
        </is>
      </c>
      <c r="E245" s="15" t="n">
        <v>378360</v>
      </c>
      <c r="F245" s="8" t="n"/>
      <c r="G245" s="15">
        <f>IF(F245="","",E245-F245)</f>
        <v/>
      </c>
      <c r="H245" s="13" t="n"/>
      <c r="I245" s="14" t="n"/>
    </row>
    <row r="246">
      <c r="A246" s="13" t="inlineStr">
        <is>
          <t>ENQ4</t>
        </is>
      </c>
      <c r="B246" s="13" t="inlineStr">
        <is>
          <t>Enquadramento: Anexo V ao III (2026)</t>
        </is>
      </c>
      <c r="C246" s="14" t="inlineStr">
        <is>
          <t>Serviços do fator R, receita alta (5ª faixa) e fator R de 18,5%; servico_fator_r; receita R$ 2.400.000,00/ano; folha CLT R$ 300.000,00; pró-labore R$ 120.000,00; outras desp. R$ 600.000,00; ano 2026; ISS 5%</t>
        </is>
      </c>
      <c r="D246" s="13" t="inlineStr">
        <is>
          <t>DAS - 25% da receita em atividade do Anexo III (R$ 600.000,00)</t>
        </is>
      </c>
      <c r="E246" s="15" t="n">
        <v>462015</v>
      </c>
      <c r="F246" s="8" t="n"/>
      <c r="G246" s="15">
        <f>IF(F246="","",E246-F246)</f>
        <v/>
      </c>
      <c r="H246" s="13" t="n"/>
      <c r="I246" s="14" t="n"/>
    </row>
    <row r="247">
      <c r="A247" s="13" t="inlineStr">
        <is>
          <t>ENQ4</t>
        </is>
      </c>
      <c r="B247" s="13" t="inlineStr">
        <is>
          <t>Enquadramento: Anexo V ao III (2026)</t>
        </is>
      </c>
      <c r="C247" s="14" t="inlineStr">
        <is>
          <t>Serviços do fator R, receita alta (5ª faixa) e fator R de 18,5%; servico_fator_r; receita R$ 2.400.000,00/ano; folha CLT R$ 300.000,00; pró-labore R$ 120.000,00; outras desp. R$ 600.000,00; ano 2026; ISS 5%</t>
        </is>
      </c>
      <c r="D247" s="13" t="inlineStr">
        <is>
          <t>DAS - 50% da receita em atividade do Anexo III (R$ 1.200.000,00)</t>
        </is>
      </c>
      <c r="E247" s="15" t="n">
        <v>434130</v>
      </c>
      <c r="F247" s="8" t="n"/>
      <c r="G247" s="15">
        <f>IF(F247="","",E247-F247)</f>
        <v/>
      </c>
      <c r="H247" s="13" t="n"/>
      <c r="I247" s="14" t="n"/>
    </row>
    <row r="248">
      <c r="A248" s="13" t="inlineStr">
        <is>
          <t>ENQ4</t>
        </is>
      </c>
      <c r="B248" s="13" t="inlineStr">
        <is>
          <t>Enquadramento: Anexo V ao III (2026)</t>
        </is>
      </c>
      <c r="C248" s="14" t="inlineStr">
        <is>
          <t>Serviços do fator R, receita alta (5ª faixa) e fator R de 18,5%; servico_fator_r; receita R$ 2.400.000,00/ano; folha CLT R$ 300.000,00; pró-labore R$ 120.000,00; outras desp. R$ 600.000,00; ano 2026; ISS 5%</t>
        </is>
      </c>
      <c r="D248" s="13" t="inlineStr">
        <is>
          <t>DAS - 100% da receita em atividade do Anexo III (R$ 2.400.000,00)</t>
        </is>
      </c>
      <c r="E248" s="15" t="n">
        <v>378360</v>
      </c>
      <c r="F248" s="8" t="n"/>
      <c r="G248" s="15">
        <f>IF(F248="","",E248-F248)</f>
        <v/>
      </c>
      <c r="H248" s="13" t="n"/>
      <c r="I248" s="14" t="n"/>
    </row>
    <row r="249">
      <c r="A249" s="5" t="inlineStr">
        <is>
          <t>ENQ5</t>
        </is>
      </c>
      <c r="B249" s="5" t="inlineStr">
        <is>
          <t>Enquadramento: Anexo V ao III (2026)</t>
        </is>
      </c>
      <c r="C249" s="6" t="inlineStr">
        <is>
          <t>Fator R já acima de 28% (folha CLT de R$ 140.000, pró-labore de R$ 28.000 e FGTS): só o cenário de hoje; servico_fator_r; receita R$ 600.000,00/ano; folha CLT R$ 140.000,00; pró-labore R$ 28.000,00; outras desp. R$ 60.000,00; ano 2026; ISS 5%</t>
        </is>
      </c>
      <c r="D249" s="5" t="inlineStr">
        <is>
          <t>DAS - Como está hoje</t>
        </is>
      </c>
      <c r="E249" s="7" t="n">
        <v>63360</v>
      </c>
      <c r="F249" s="8" t="n"/>
      <c r="G249" s="7">
        <f>IF(F249="","",E249-F249)</f>
        <v/>
      </c>
      <c r="H249" s="5" t="n"/>
      <c r="I249" s="6" t="n"/>
    </row>
    <row r="250">
      <c r="A250" s="13" t="inlineStr">
        <is>
          <t>ENQ6</t>
        </is>
      </c>
      <c r="B250" s="13" t="inlineStr">
        <is>
          <t>Enquadramento: Anexo V ao III (2026)</t>
        </is>
      </c>
      <c r="C250" s="14" t="inlineStr">
        <is>
          <t>Folha do fator R informada pelo contador (R$ 100.000) em vez da calculada, receita de R$ 600.000; servico_fator_r; receita R$ 600.000,00/ano; pró-labore R$ 36.000,00; outras desp. R$ 60.000,00; ano 2026; ISS 5%</t>
        </is>
      </c>
      <c r="D250" s="13" t="inlineStr">
        <is>
          <t>DAS - Como está hoje</t>
        </is>
      </c>
      <c r="E250" s="15" t="n">
        <v>107100</v>
      </c>
      <c r="F250" s="8" t="n"/>
      <c r="G250" s="15">
        <f>IF(F250="","",E250-F250)</f>
        <v/>
      </c>
      <c r="H250" s="13" t="n"/>
      <c r="I250" s="14" t="n"/>
    </row>
    <row r="251">
      <c r="A251" s="13" t="inlineStr">
        <is>
          <t>ENQ6</t>
        </is>
      </c>
      <c r="B251" s="13" t="inlineStr">
        <is>
          <t>Enquadramento: Anexo V ao III (2026)</t>
        </is>
      </c>
      <c r="C251" s="14" t="inlineStr">
        <is>
          <t>Folha do fator R informada pelo contador (R$ 100.000) em vez da calculada, receita de R$ 600.000; servico_fator_r; receita R$ 600.000,00/ano; pró-labore R$ 36.000,00; outras desp. R$ 60.000,00; ano 2026; ISS 5%</t>
        </is>
      </c>
      <c r="D251" s="13" t="inlineStr">
        <is>
          <t>DAS - Pró-labore +R$ 5.666,67/mês (fator R de 28%)</t>
        </is>
      </c>
      <c r="E251" s="15" t="n">
        <v>63360</v>
      </c>
      <c r="F251" s="8" t="n"/>
      <c r="G251" s="15">
        <f>IF(F251="","",E251-F251)</f>
        <v/>
      </c>
      <c r="H251" s="13" t="n"/>
      <c r="I251" s="14" t="n"/>
    </row>
    <row r="252">
      <c r="A252" s="13" t="inlineStr">
        <is>
          <t>ENQ6</t>
        </is>
      </c>
      <c r="B252" s="13" t="inlineStr">
        <is>
          <t>Enquadramento: Anexo V ao III (2026)</t>
        </is>
      </c>
      <c r="C252" s="14" t="inlineStr">
        <is>
          <t>Folha do fator R informada pelo contador (R$ 100.000) em vez da calculada, receita de R$ 600.000; servico_fator_r; receita R$ 600.000,00/ano; pró-labore R$ 36.000,00; outras desp. R$ 60.000,00; ano 2026; ISS 5%</t>
        </is>
      </c>
      <c r="D252" s="13" t="inlineStr">
        <is>
          <t>INSS do sócio sobre o pró-labore adicional (fator_r)</t>
        </is>
      </c>
      <c r="E252" s="15" t="n">
        <v>7227.72</v>
      </c>
      <c r="F252" s="8" t="n"/>
      <c r="G252" s="15">
        <f>IF(F252="","",E252-F252)</f>
        <v/>
      </c>
      <c r="H252" s="13" t="n"/>
      <c r="I252" s="14" t="n"/>
    </row>
    <row r="253">
      <c r="A253" s="13" t="inlineStr">
        <is>
          <t>ENQ6</t>
        </is>
      </c>
      <c r="B253" s="13" t="inlineStr">
        <is>
          <t>Enquadramento: Anexo V ao III (2026)</t>
        </is>
      </c>
      <c r="C253" s="14" t="inlineStr">
        <is>
          <t>Folha do fator R informada pelo contador (R$ 100.000) em vez da calculada, receita de R$ 600.000; servico_fator_r; receita R$ 600.000,00/ano; pró-labore R$ 36.000,00; outras desp. R$ 60.000,00; ano 2026; ISS 5%</t>
        </is>
      </c>
      <c r="D253" s="13" t="inlineStr">
        <is>
          <t>DAS - 25% da receita em atividade do Anexo III (R$ 150.000,00)</t>
        </is>
      </c>
      <c r="E253" s="15" t="n">
        <v>96165</v>
      </c>
      <c r="F253" s="8" t="n"/>
      <c r="G253" s="15">
        <f>IF(F253="","",E253-F253)</f>
        <v/>
      </c>
      <c r="H253" s="13" t="n"/>
      <c r="I253" s="14" t="n"/>
    </row>
    <row r="254">
      <c r="A254" s="13" t="inlineStr">
        <is>
          <t>ENQ6</t>
        </is>
      </c>
      <c r="B254" s="13" t="inlineStr">
        <is>
          <t>Enquadramento: Anexo V ao III (2026)</t>
        </is>
      </c>
      <c r="C254" s="14" t="inlineStr">
        <is>
          <t>Folha do fator R informada pelo contador (R$ 100.000) em vez da calculada, receita de R$ 600.000; servico_fator_r; receita R$ 600.000,00/ano; pró-labore R$ 36.000,00; outras desp. R$ 60.000,00; ano 2026; ISS 5%</t>
        </is>
      </c>
      <c r="D254" s="13" t="inlineStr">
        <is>
          <t>DAS - 50% da receita em atividade do Anexo III (R$ 300.000,00)</t>
        </is>
      </c>
      <c r="E254" s="15" t="n">
        <v>85230</v>
      </c>
      <c r="F254" s="8" t="n"/>
      <c r="G254" s="15">
        <f>IF(F254="","",E254-F254)</f>
        <v/>
      </c>
      <c r="H254" s="13" t="n"/>
      <c r="I254" s="14" t="n"/>
    </row>
    <row r="255">
      <c r="A255" s="13" t="inlineStr">
        <is>
          <t>ENQ6</t>
        </is>
      </c>
      <c r="B255" s="13" t="inlineStr">
        <is>
          <t>Enquadramento: Anexo V ao III (2026)</t>
        </is>
      </c>
      <c r="C255" s="14" t="inlineStr">
        <is>
          <t>Folha do fator R informada pelo contador (R$ 100.000) em vez da calculada, receita de R$ 600.000; servico_fator_r; receita R$ 600.000,00/ano; pró-labore R$ 36.000,00; outras desp. R$ 60.000,00; ano 2026; ISS 5%</t>
        </is>
      </c>
      <c r="D255" s="13" t="inlineStr">
        <is>
          <t>DAS - 100% da receita em atividade do Anexo III (R$ 600.000,00)</t>
        </is>
      </c>
      <c r="E255" s="15" t="n">
        <v>63360</v>
      </c>
      <c r="F255" s="8" t="n"/>
      <c r="G255" s="15">
        <f>IF(F255="","",E255-F255)</f>
        <v/>
      </c>
      <c r="H255" s="13" t="n"/>
      <c r="I255" s="14" t="n"/>
    </row>
    <row r="256">
      <c r="A256" s="5" t="inlineStr">
        <is>
          <t>SR4-2028</t>
        </is>
      </c>
      <c r="B256" s="5" t="inlineStr">
        <is>
          <t>Simples na Reforma - 2028</t>
        </is>
      </c>
      <c r="C256" s="6" t="inlineStr">
        <is>
          <t>Comércio, 80% B2B, compras de fornecedores do regime regular; receita R$ 2.000.000,00</t>
        </is>
      </c>
      <c r="D256" s="5" t="inlineStr">
        <is>
          <t>Receita líquida — dentro do DAS</t>
        </is>
      </c>
      <c r="E256" s="7" t="n">
        <v>1801300</v>
      </c>
      <c r="F256" s="8" t="n"/>
      <c r="G256" s="7">
        <f>IF(F256="","",E256-F256)</f>
        <v/>
      </c>
      <c r="H256" s="5" t="n"/>
      <c r="I256" s="6" t="n"/>
    </row>
    <row r="257">
      <c r="A257" s="5" t="inlineStr">
        <is>
          <t>SR4-2028</t>
        </is>
      </c>
      <c r="B257" s="5" t="inlineStr">
        <is>
          <t>Simples na Reforma - 2028</t>
        </is>
      </c>
      <c r="C257" s="6" t="inlineStr">
        <is>
          <t>Comércio, 80% B2B, compras de fornecedores do regime regular; receita R$ 2.000.000,00</t>
        </is>
      </c>
      <c r="D257" s="5" t="inlineStr">
        <is>
          <t>Receita líquida — por fora</t>
        </is>
      </c>
      <c r="E257" s="7" t="n">
        <v>1885491.26</v>
      </c>
      <c r="F257" s="8" t="n"/>
      <c r="G257" s="7">
        <f>IF(F257="","",E257-F257)</f>
        <v/>
      </c>
      <c r="H257" s="5" t="n"/>
      <c r="I257" s="6" t="n"/>
    </row>
    <row r="258">
      <c r="A258" s="13" t="inlineStr">
        <is>
          <t>SR4-2029</t>
        </is>
      </c>
      <c r="B258" s="13" t="inlineStr">
        <is>
          <t>Simples na Reforma - 2029</t>
        </is>
      </c>
      <c r="C258" s="14" t="inlineStr">
        <is>
          <t>Comércio, 80% B2B, compras de fornecedores do regime regular; receita R$ 2.000.000,00</t>
        </is>
      </c>
      <c r="D258" s="13" t="inlineStr">
        <is>
          <t>Receita líquida — dentro do DAS</t>
        </is>
      </c>
      <c r="E258" s="15" t="n">
        <v>1801300</v>
      </c>
      <c r="F258" s="8" t="n"/>
      <c r="G258" s="15">
        <f>IF(F258="","",E258-F258)</f>
        <v/>
      </c>
      <c r="H258" s="13" t="n"/>
      <c r="I258" s="14" t="n"/>
    </row>
    <row r="259">
      <c r="A259" s="13" t="inlineStr">
        <is>
          <t>SR4-2029</t>
        </is>
      </c>
      <c r="B259" s="13" t="inlineStr">
        <is>
          <t>Simples na Reforma - 2029</t>
        </is>
      </c>
      <c r="C259" s="14" t="inlineStr">
        <is>
          <t>Comércio, 80% B2B, compras de fornecedores do regime regular; receita R$ 2.000.000,00</t>
        </is>
      </c>
      <c r="D259" s="13" t="inlineStr">
        <is>
          <t>Receita líquida — por fora</t>
        </is>
      </c>
      <c r="E259" s="15" t="n">
        <v>1902891.4</v>
      </c>
      <c r="F259" s="8" t="n"/>
      <c r="G259" s="15">
        <f>IF(F259="","",E259-F259)</f>
        <v/>
      </c>
      <c r="H259" s="13" t="n"/>
      <c r="I259" s="14" t="n"/>
    </row>
    <row r="260">
      <c r="A260" s="5" t="inlineStr">
        <is>
          <t>SR4-2030</t>
        </is>
      </c>
      <c r="B260" s="5" t="inlineStr">
        <is>
          <t>Simples na Reforma - 2030</t>
        </is>
      </c>
      <c r="C260" s="6" t="inlineStr">
        <is>
          <t>Comércio, 80% B2B, compras de fornecedores do regime regular; receita R$ 2.000.000,00</t>
        </is>
      </c>
      <c r="D260" s="5" t="inlineStr">
        <is>
          <t>Receita líquida — dentro do DAS</t>
        </is>
      </c>
      <c r="E260" s="7" t="n">
        <v>1801300</v>
      </c>
      <c r="F260" s="8" t="n"/>
      <c r="G260" s="7">
        <f>IF(F260="","",E260-F260)</f>
        <v/>
      </c>
      <c r="H260" s="5" t="n"/>
      <c r="I260" s="6" t="n"/>
    </row>
    <row r="261">
      <c r="A261" s="5" t="inlineStr">
        <is>
          <t>SR4-2030</t>
        </is>
      </c>
      <c r="B261" s="5" t="inlineStr">
        <is>
          <t>Simples na Reforma - 2030</t>
        </is>
      </c>
      <c r="C261" s="6" t="inlineStr">
        <is>
          <t>Comércio, 80% B2B, compras de fornecedores do regime regular; receita R$ 2.000.000,00</t>
        </is>
      </c>
      <c r="D261" s="5" t="inlineStr">
        <is>
          <t>Receita líquida — por fora</t>
        </is>
      </c>
      <c r="E261" s="7" t="n">
        <v>1920388.04</v>
      </c>
      <c r="F261" s="8" t="n"/>
      <c r="G261" s="7">
        <f>IF(F261="","",E261-F261)</f>
        <v/>
      </c>
      <c r="H261" s="5" t="n"/>
      <c r="I261" s="6" t="n"/>
    </row>
    <row r="262">
      <c r="A262" s="13" t="inlineStr">
        <is>
          <t>SR4-2031</t>
        </is>
      </c>
      <c r="B262" s="13" t="inlineStr">
        <is>
          <t>Simples na Reforma - 2031</t>
        </is>
      </c>
      <c r="C262" s="14" t="inlineStr">
        <is>
          <t>Comércio, 80% B2B, compras de fornecedores do regime regular; receita R$ 2.000.000,00</t>
        </is>
      </c>
      <c r="D262" s="13" t="inlineStr">
        <is>
          <t>Receita líquida — dentro do DAS</t>
        </is>
      </c>
      <c r="E262" s="15" t="n">
        <v>1801300</v>
      </c>
      <c r="F262" s="8" t="n"/>
      <c r="G262" s="15">
        <f>IF(F262="","",E262-F262)</f>
        <v/>
      </c>
      <c r="H262" s="13" t="n"/>
      <c r="I262" s="14" t="n"/>
    </row>
    <row r="263">
      <c r="A263" s="13" t="inlineStr">
        <is>
          <t>SR4-2031</t>
        </is>
      </c>
      <c r="B263" s="13" t="inlineStr">
        <is>
          <t>Simples na Reforma - 2031</t>
        </is>
      </c>
      <c r="C263" s="14" t="inlineStr">
        <is>
          <t>Comércio, 80% B2B, compras de fornecedores do regime regular; receita R$ 2.000.000,00</t>
        </is>
      </c>
      <c r="D263" s="13" t="inlineStr">
        <is>
          <t>Receita líquida — por fora</t>
        </is>
      </c>
      <c r="E263" s="15" t="n">
        <v>1937975.04</v>
      </c>
      <c r="F263" s="8" t="n"/>
      <c r="G263" s="15">
        <f>IF(F263="","",E263-F263)</f>
        <v/>
      </c>
      <c r="H263" s="13" t="n"/>
      <c r="I263" s="14" t="n"/>
    </row>
    <row r="264">
      <c r="A264" s="5" t="inlineStr">
        <is>
          <t>SR4-2032</t>
        </is>
      </c>
      <c r="B264" s="5" t="inlineStr">
        <is>
          <t>Simples na Reforma - 2032</t>
        </is>
      </c>
      <c r="C264" s="6" t="inlineStr">
        <is>
          <t>Comércio, 80% B2B, compras de fornecedores do regime regular; receita R$ 2.000.000,00</t>
        </is>
      </c>
      <c r="D264" s="5" t="inlineStr">
        <is>
          <t>Receita líquida — dentro do DAS</t>
        </is>
      </c>
      <c r="E264" s="7" t="n">
        <v>1801300</v>
      </c>
      <c r="F264" s="8" t="n"/>
      <c r="G264" s="7">
        <f>IF(F264="","",E264-F264)</f>
        <v/>
      </c>
      <c r="H264" s="5" t="n"/>
      <c r="I264" s="6" t="n"/>
    </row>
    <row r="265">
      <c r="A265" s="5" t="inlineStr">
        <is>
          <t>SR4-2032</t>
        </is>
      </c>
      <c r="B265" s="5" t="inlineStr">
        <is>
          <t>Simples na Reforma - 2032</t>
        </is>
      </c>
      <c r="C265" s="6" t="inlineStr">
        <is>
          <t>Comércio, 80% B2B, compras de fornecedores do regime regular; receita R$ 2.000.000,00</t>
        </is>
      </c>
      <c r="D265" s="5" t="inlineStr">
        <is>
          <t>Receita líquida — por fora</t>
        </is>
      </c>
      <c r="E265" s="7" t="n">
        <v>1955646.63</v>
      </c>
      <c r="F265" s="8" t="n"/>
      <c r="G265" s="7">
        <f>IF(F265="","",E265-F265)</f>
        <v/>
      </c>
      <c r="H265" s="5" t="n"/>
      <c r="I265" s="6" t="n"/>
    </row>
    <row r="266">
      <c r="A266" s="13" t="inlineStr">
        <is>
          <t>SR5-2029</t>
        </is>
      </c>
      <c r="B266" s="13" t="inlineStr">
        <is>
          <t>Simples na Reforma - 2029</t>
        </is>
      </c>
      <c r="C266" s="14" t="inlineStr">
        <is>
          <t>Serviços (Anexo III), 100% B2B, sem compras; receita R$ 600.000,00</t>
        </is>
      </c>
      <c r="D266" s="13" t="inlineStr">
        <is>
          <t>Receita líquida — dentro do DAS</t>
        </is>
      </c>
      <c r="E266" s="15" t="n">
        <v>536640</v>
      </c>
      <c r="F266" s="8" t="n"/>
      <c r="G266" s="15">
        <f>IF(F266="","",E266-F266)</f>
        <v/>
      </c>
      <c r="H266" s="13" t="n"/>
      <c r="I266" s="14" t="n"/>
    </row>
    <row r="267">
      <c r="A267" s="13" t="inlineStr">
        <is>
          <t>SR5-2029</t>
        </is>
      </c>
      <c r="B267" s="13" t="inlineStr">
        <is>
          <t>Simples na Reforma - 2029</t>
        </is>
      </c>
      <c r="C267" s="14" t="inlineStr">
        <is>
          <t>Serviços (Anexo III), 100% B2B, sem compras; receita R$ 600.000,00</t>
        </is>
      </c>
      <c r="D267" s="13" t="inlineStr">
        <is>
          <t>Receita líquida — por fora</t>
        </is>
      </c>
      <c r="E267" s="15" t="n">
        <v>537704.49</v>
      </c>
      <c r="F267" s="8" t="n"/>
      <c r="G267" s="15">
        <f>IF(F267="","",E267-F267)</f>
        <v/>
      </c>
      <c r="H267" s="13" t="n"/>
      <c r="I267" s="14" t="n"/>
    </row>
    <row r="268">
      <c r="A268" s="5" t="inlineStr">
        <is>
          <t>SR5-2031</t>
        </is>
      </c>
      <c r="B268" s="5" t="inlineStr">
        <is>
          <t>Simples na Reforma - 2031</t>
        </is>
      </c>
      <c r="C268" s="6" t="inlineStr">
        <is>
          <t>Serviços (Anexo III), 100% B2B, sem compras; receita R$ 600.000,00</t>
        </is>
      </c>
      <c r="D268" s="5" t="inlineStr">
        <is>
          <t>Receita líquida — dentro do DAS</t>
        </is>
      </c>
      <c r="E268" s="7" t="n">
        <v>536640</v>
      </c>
      <c r="F268" s="8" t="n"/>
      <c r="G268" s="7">
        <f>IF(F268="","",E268-F268)</f>
        <v/>
      </c>
      <c r="H268" s="5" t="n"/>
      <c r="I268" s="6" t="n"/>
    </row>
    <row r="269">
      <c r="A269" s="5" t="inlineStr">
        <is>
          <t>SR5-2031</t>
        </is>
      </c>
      <c r="B269" s="5" t="inlineStr">
        <is>
          <t>Simples na Reforma - 2031</t>
        </is>
      </c>
      <c r="C269" s="6" t="inlineStr">
        <is>
          <t>Serviços (Anexo III), 100% B2B, sem compras; receita R$ 600.000,00</t>
        </is>
      </c>
      <c r="D269" s="5" t="inlineStr">
        <is>
          <t>Receita líquida — por fora</t>
        </is>
      </c>
      <c r="E269" s="7" t="n">
        <v>537938.47</v>
      </c>
      <c r="F269" s="8" t="n"/>
      <c r="G269" s="7">
        <f>IF(F269="","",E269-F269)</f>
        <v/>
      </c>
      <c r="H269" s="5" t="n"/>
      <c r="I269" s="6" t="n"/>
    </row>
    <row r="270">
      <c r="A270" s="13" t="inlineStr">
        <is>
          <t>SR6-2028</t>
        </is>
      </c>
      <c r="B270" s="13" t="inlineStr">
        <is>
          <t>Simples na Reforma - 2028</t>
        </is>
      </c>
      <c r="C270" s="14" t="inlineStr">
        <is>
          <t>Serviços (Anexo III), 5ª faixa (o teto do ISS no DAS atua), 50% B2B; receita R$ 3.000.000,00</t>
        </is>
      </c>
      <c r="D270" s="13" t="inlineStr">
        <is>
          <t>Receita líquida — dentro do DAS</t>
        </is>
      </c>
      <c r="E270" s="15" t="n">
        <v>2495640</v>
      </c>
      <c r="F270" s="8" t="n"/>
      <c r="G270" s="15">
        <f>IF(F270="","",E270-F270)</f>
        <v/>
      </c>
      <c r="H270" s="13" t="n"/>
      <c r="I270" s="14" t="n"/>
    </row>
    <row r="271">
      <c r="A271" s="13" t="inlineStr">
        <is>
          <t>SR6-2028</t>
        </is>
      </c>
      <c r="B271" s="13" t="inlineStr">
        <is>
          <t>Simples na Reforma - 2028</t>
        </is>
      </c>
      <c r="C271" s="14" t="inlineStr">
        <is>
          <t>Serviços (Anexo III), 5ª faixa (o teto do ISS no DAS atua), 50% B2B; receita R$ 3.000.000,00</t>
        </is>
      </c>
      <c r="D271" s="13" t="inlineStr">
        <is>
          <t>Receita líquida — por fora</t>
        </is>
      </c>
      <c r="E271" s="15" t="n">
        <v>2438751.65</v>
      </c>
      <c r="F271" s="8" t="n"/>
      <c r="G271" s="15">
        <f>IF(F271="","",E271-F271)</f>
        <v/>
      </c>
      <c r="H271" s="13" t="n"/>
      <c r="I271" s="14" t="n"/>
    </row>
    <row r="272">
      <c r="A272" s="5" t="inlineStr">
        <is>
          <t>SR6-2029</t>
        </is>
      </c>
      <c r="B272" s="5" t="inlineStr">
        <is>
          <t>Simples na Reforma - 2029</t>
        </is>
      </c>
      <c r="C272" s="6" t="inlineStr">
        <is>
          <t>Serviços (Anexo III), 5ª faixa (o teto do ISS no DAS atua), 50% B2B; receita R$ 3.000.000,00</t>
        </is>
      </c>
      <c r="D272" s="5" t="inlineStr">
        <is>
          <t>Receita líquida — dentro do DAS</t>
        </is>
      </c>
      <c r="E272" s="7" t="n">
        <v>2495640</v>
      </c>
      <c r="F272" s="8" t="n"/>
      <c r="G272" s="7">
        <f>IF(F272="","",E272-F272)</f>
        <v/>
      </c>
      <c r="H272" s="5" t="n"/>
      <c r="I272" s="6" t="n"/>
    </row>
    <row r="273">
      <c r="A273" s="5" t="inlineStr">
        <is>
          <t>SR6-2029</t>
        </is>
      </c>
      <c r="B273" s="5" t="inlineStr">
        <is>
          <t>Simples na Reforma - 2029</t>
        </is>
      </c>
      <c r="C273" s="6" t="inlineStr">
        <is>
          <t>Serviços (Anexo III), 5ª faixa (o teto do ISS no DAS atua), 50% B2B; receita R$ 3.000.000,00</t>
        </is>
      </c>
      <c r="D273" s="5" t="inlineStr">
        <is>
          <t>Receita líquida — por fora</t>
        </is>
      </c>
      <c r="E273" s="7" t="n">
        <v>2428416.99</v>
      </c>
      <c r="F273" s="8" t="n"/>
      <c r="G273" s="7">
        <f>IF(F273="","",E273-F273)</f>
        <v/>
      </c>
      <c r="H273" s="5" t="n"/>
      <c r="I273" s="6" t="n"/>
    </row>
    <row r="274">
      <c r="A274" s="13" t="inlineStr">
        <is>
          <t>SR6-2032</t>
        </is>
      </c>
      <c r="B274" s="13" t="inlineStr">
        <is>
          <t>Simples na Reforma - 2032</t>
        </is>
      </c>
      <c r="C274" s="14" t="inlineStr">
        <is>
          <t>Serviços (Anexo III), 5ª faixa (o teto do ISS no DAS atua), 50% B2B; receita R$ 3.000.000,00</t>
        </is>
      </c>
      <c r="D274" s="13" t="inlineStr">
        <is>
          <t>Receita líquida — dentro do DAS</t>
        </is>
      </c>
      <c r="E274" s="15" t="n">
        <v>2495640</v>
      </c>
      <c r="F274" s="8" t="n"/>
      <c r="G274" s="15">
        <f>IF(F274="","",E274-F274)</f>
        <v/>
      </c>
      <c r="H274" s="13" t="n"/>
      <c r="I274" s="14" t="n"/>
    </row>
    <row r="275">
      <c r="A275" s="13" t="inlineStr">
        <is>
          <t>SR6-2032</t>
        </is>
      </c>
      <c r="B275" s="13" t="inlineStr">
        <is>
          <t>Simples na Reforma - 2032</t>
        </is>
      </c>
      <c r="C275" s="14" t="inlineStr">
        <is>
          <t>Serviços (Anexo III), 5ª faixa (o teto do ISS no DAS atua), 50% B2B; receita R$ 3.000.000,00</t>
        </is>
      </c>
      <c r="D275" s="13" t="inlineStr">
        <is>
          <t>Receita líquida — por fora</t>
        </is>
      </c>
      <c r="E275" s="15" t="n">
        <v>2398405.14</v>
      </c>
      <c r="F275" s="8" t="n"/>
      <c r="G275" s="15">
        <f>IF(F275="","",E275-F275)</f>
        <v/>
      </c>
      <c r="H275" s="13" t="n"/>
      <c r="I275" s="14" t="n"/>
    </row>
    <row r="276">
      <c r="A276" s="5" t="inlineStr">
        <is>
          <t>AU1-PF</t>
        </is>
      </c>
      <c r="B276" s="5" t="inlineStr">
        <is>
          <t>Autônomo × CNPJ — Autônomo (pessoa física) (mensal)</t>
        </is>
      </c>
      <c r="C276" s="6" t="inlineStr">
        <is>
          <t>Receita R$ 6.000/mês, pode ser MEI</t>
        </is>
      </c>
      <c r="D276" s="5" t="inlineStr">
        <is>
          <t>INSS (20%)</t>
        </is>
      </c>
      <c r="E276" s="7" t="n">
        <v>1200</v>
      </c>
      <c r="F276" s="8" t="n"/>
      <c r="G276" s="7">
        <f>IF(F276="","",E276-F276)</f>
        <v/>
      </c>
      <c r="H276" s="5" t="n"/>
      <c r="I276" s="6" t="n"/>
    </row>
    <row r="277">
      <c r="A277" s="5" t="inlineStr">
        <is>
          <t>AU1-PF</t>
        </is>
      </c>
      <c r="B277" s="5" t="inlineStr">
        <is>
          <t>Autônomo × CNPJ — Autônomo (pessoa física) (mensal)</t>
        </is>
      </c>
      <c r="C277" s="6" t="inlineStr">
        <is>
          <t>Receita R$ 6.000/mês, pode ser MEI</t>
        </is>
      </c>
      <c r="D277" s="5" t="inlineStr">
        <is>
          <t>IRPF (carnê-leão)</t>
        </is>
      </c>
      <c r="E277" s="7" t="n">
        <v>231.52</v>
      </c>
      <c r="F277" s="8" t="n"/>
      <c r="G277" s="7">
        <f>IF(F277="","",E277-F277)</f>
        <v/>
      </c>
      <c r="H277" s="5" t="n"/>
      <c r="I277" s="6" t="n"/>
    </row>
    <row r="278">
      <c r="A278" s="9" t="inlineStr">
        <is>
          <t>AU1-PF</t>
        </is>
      </c>
      <c r="B278" s="9" t="inlineStr">
        <is>
          <t>Autônomo × CNPJ — Autônomo (pessoa física) (mensal)</t>
        </is>
      </c>
      <c r="C278" s="10" t="inlineStr">
        <is>
          <t>Receita R$ 6.000/mês, pode ser MEI</t>
        </is>
      </c>
      <c r="D278" s="9" t="inlineStr">
        <is>
          <t>TOTAL</t>
        </is>
      </c>
      <c r="E278" s="11">
        <f>SUM(E276:E277)</f>
        <v/>
      </c>
      <c r="F278" s="12" t="n"/>
      <c r="G278" s="11">
        <f>IF(F278="","",E278-F278)</f>
        <v/>
      </c>
      <c r="H278" s="9" t="n"/>
      <c r="I278" s="10" t="n"/>
    </row>
    <row r="279">
      <c r="A279" s="13" t="inlineStr">
        <is>
          <t>AU1-MEI</t>
        </is>
      </c>
      <c r="B279" s="13" t="inlineStr">
        <is>
          <t>Autônomo × CNPJ — MEI (mensal)</t>
        </is>
      </c>
      <c r="C279" s="14" t="inlineStr">
        <is>
          <t>Receita R$ 6.000/mês, pode ser MEI</t>
        </is>
      </c>
      <c r="D279" s="13" t="inlineStr">
        <is>
          <t>DAS-MEI (INSS)</t>
        </is>
      </c>
      <c r="E279" s="15" t="n">
        <v>81.05</v>
      </c>
      <c r="F279" s="8" t="n"/>
      <c r="G279" s="15">
        <f>IF(F279="","",E279-F279)</f>
        <v/>
      </c>
      <c r="H279" s="13" t="n"/>
      <c r="I279" s="14" t="n"/>
    </row>
    <row r="280">
      <c r="A280" s="13" t="inlineStr">
        <is>
          <t>AU1-MEI</t>
        </is>
      </c>
      <c r="B280" s="13" t="inlineStr">
        <is>
          <t>Autônomo × CNPJ — MEI (mensal)</t>
        </is>
      </c>
      <c r="C280" s="14" t="inlineStr">
        <is>
          <t>Receita R$ 6.000/mês, pode ser MEI</t>
        </is>
      </c>
      <c r="D280" s="13" t="inlineStr">
        <is>
          <t>DAS-MEI (ISS)</t>
        </is>
      </c>
      <c r="E280" s="15" t="n">
        <v>5</v>
      </c>
      <c r="F280" s="8" t="n"/>
      <c r="G280" s="15">
        <f>IF(F280="","",E280-F280)</f>
        <v/>
      </c>
      <c r="H280" s="13" t="n"/>
      <c r="I280" s="14" t="n"/>
    </row>
    <row r="281">
      <c r="A281" s="16" t="inlineStr">
        <is>
          <t>AU1-MEI</t>
        </is>
      </c>
      <c r="B281" s="16" t="inlineStr">
        <is>
          <t>Autônomo × CNPJ — MEI (mensal)</t>
        </is>
      </c>
      <c r="C281" s="17" t="inlineStr">
        <is>
          <t>Receita R$ 6.000/mês, pode ser MEI</t>
        </is>
      </c>
      <c r="D281" s="16" t="inlineStr">
        <is>
          <t>TOTAL</t>
        </is>
      </c>
      <c r="E281" s="18">
        <f>SUM(E279:E280)</f>
        <v/>
      </c>
      <c r="F281" s="12" t="n"/>
      <c r="G281" s="18">
        <f>IF(F281="","",E281-F281)</f>
        <v/>
      </c>
      <c r="H281" s="16" t="n"/>
      <c r="I281" s="17" t="n"/>
    </row>
    <row r="282">
      <c r="A282" s="5" t="inlineStr">
        <is>
          <t>AU1-SN</t>
        </is>
      </c>
      <c r="B282" s="5" t="inlineStr">
        <is>
          <t>Autônomo × CNPJ — Simples Nacional (mensal)</t>
        </is>
      </c>
      <c r="C282" s="6" t="inlineStr">
        <is>
          <t>Receita R$ 6.000/mês, pode ser MEI</t>
        </is>
      </c>
      <c r="D282" s="5" t="inlineStr">
        <is>
          <t>DAS</t>
        </is>
      </c>
      <c r="E282" s="7" t="n">
        <v>360</v>
      </c>
      <c r="F282" s="8" t="n"/>
      <c r="G282" s="7">
        <f>IF(F282="","",E282-F282)</f>
        <v/>
      </c>
      <c r="H282" s="5" t="n"/>
      <c r="I282" s="6" t="n"/>
    </row>
    <row r="283">
      <c r="A283" s="5" t="inlineStr">
        <is>
          <t>AU1-SN</t>
        </is>
      </c>
      <c r="B283" s="5" t="inlineStr">
        <is>
          <t>Autônomo × CNPJ — Simples Nacional (mensal)</t>
        </is>
      </c>
      <c r="C283" s="6" t="inlineStr">
        <is>
          <t>Receita R$ 6.000/mês, pode ser MEI</t>
        </is>
      </c>
      <c r="D283" s="5" t="inlineStr">
        <is>
          <t>INSS sobre pró-labore (11%)</t>
        </is>
      </c>
      <c r="E283" s="7" t="n">
        <v>184.8</v>
      </c>
      <c r="F283" s="8" t="n"/>
      <c r="G283" s="7">
        <f>IF(F283="","",E283-F283)</f>
        <v/>
      </c>
      <c r="H283" s="5" t="n"/>
      <c r="I283" s="6" t="n"/>
    </row>
    <row r="284">
      <c r="A284" s="5" t="inlineStr">
        <is>
          <t>AU1-SN</t>
        </is>
      </c>
      <c r="B284" s="5" t="inlineStr">
        <is>
          <t>Autônomo × CNPJ — Simples Nacional (mensal)</t>
        </is>
      </c>
      <c r="C284" s="6" t="inlineStr">
        <is>
          <t>Receita R$ 6.000/mês, pode ser MEI</t>
        </is>
      </c>
      <c r="D284" s="5" t="inlineStr">
        <is>
          <t>IRPF sobre pró-labore</t>
        </is>
      </c>
      <c r="E284" s="7" t="n">
        <v>0</v>
      </c>
      <c r="F284" s="8" t="n"/>
      <c r="G284" s="7">
        <f>IF(F284="","",E284-F284)</f>
        <v/>
      </c>
      <c r="H284" s="5" t="n"/>
      <c r="I284" s="6" t="n"/>
    </row>
    <row r="285">
      <c r="A285" s="9" t="inlineStr">
        <is>
          <t>AU1-SN</t>
        </is>
      </c>
      <c r="B285" s="9" t="inlineStr">
        <is>
          <t>Autônomo × CNPJ — Simples Nacional (mensal)</t>
        </is>
      </c>
      <c r="C285" s="10" t="inlineStr">
        <is>
          <t>Receita R$ 6.000/mês, pode ser MEI</t>
        </is>
      </c>
      <c r="D285" s="9" t="inlineStr">
        <is>
          <t>TOTAL</t>
        </is>
      </c>
      <c r="E285" s="11">
        <f>SUM(E282:E284)</f>
        <v/>
      </c>
      <c r="F285" s="12" t="n"/>
      <c r="G285" s="11">
        <f>IF(F285="","",E285-F285)</f>
        <v/>
      </c>
      <c r="H285" s="9" t="n"/>
      <c r="I285" s="10" t="n"/>
    </row>
    <row r="286">
      <c r="A286" s="13" t="inlineStr">
        <is>
          <t>AU1-LP</t>
        </is>
      </c>
      <c r="B286" s="13" t="inlineStr">
        <is>
          <t>Autônomo × CNPJ — Lucro Presumido (mensal)</t>
        </is>
      </c>
      <c r="C286" s="14" t="inlineStr">
        <is>
          <t>Receita R$ 6.000/mês, pode ser MEI</t>
        </is>
      </c>
      <c r="D286" s="13" t="inlineStr">
        <is>
          <t>IRPJ</t>
        </is>
      </c>
      <c r="E286" s="15" t="n">
        <v>288</v>
      </c>
      <c r="F286" s="8" t="n"/>
      <c r="G286" s="15">
        <f>IF(F286="","",E286-F286)</f>
        <v/>
      </c>
      <c r="H286" s="13" t="n"/>
      <c r="I286" s="14" t="n"/>
    </row>
    <row r="287">
      <c r="A287" s="13" t="inlineStr">
        <is>
          <t>AU1-LP</t>
        </is>
      </c>
      <c r="B287" s="13" t="inlineStr">
        <is>
          <t>Autônomo × CNPJ — Lucro Presumido (mensal)</t>
        </is>
      </c>
      <c r="C287" s="14" t="inlineStr">
        <is>
          <t>Receita R$ 6.000/mês, pode ser MEI</t>
        </is>
      </c>
      <c r="D287" s="13" t="inlineStr">
        <is>
          <t>CSLL</t>
        </is>
      </c>
      <c r="E287" s="15" t="n">
        <v>172.8</v>
      </c>
      <c r="F287" s="8" t="n"/>
      <c r="G287" s="15">
        <f>IF(F287="","",E287-F287)</f>
        <v/>
      </c>
      <c r="H287" s="13" t="n"/>
      <c r="I287" s="14" t="n"/>
    </row>
    <row r="288">
      <c r="A288" s="13" t="inlineStr">
        <is>
          <t>AU1-LP</t>
        </is>
      </c>
      <c r="B288" s="13" t="inlineStr">
        <is>
          <t>Autônomo × CNPJ — Lucro Presumido (mensal)</t>
        </is>
      </c>
      <c r="C288" s="14" t="inlineStr">
        <is>
          <t>Receita R$ 6.000/mês, pode ser MEI</t>
        </is>
      </c>
      <c r="D288" s="13" t="inlineStr">
        <is>
          <t>PIS</t>
        </is>
      </c>
      <c r="E288" s="15" t="n">
        <v>39</v>
      </c>
      <c r="F288" s="8" t="n"/>
      <c r="G288" s="15">
        <f>IF(F288="","",E288-F288)</f>
        <v/>
      </c>
      <c r="H288" s="13" t="n"/>
      <c r="I288" s="14" t="n"/>
    </row>
    <row r="289">
      <c r="A289" s="13" t="inlineStr">
        <is>
          <t>AU1-LP</t>
        </is>
      </c>
      <c r="B289" s="13" t="inlineStr">
        <is>
          <t>Autônomo × CNPJ — Lucro Presumido (mensal)</t>
        </is>
      </c>
      <c r="C289" s="14" t="inlineStr">
        <is>
          <t>Receita R$ 6.000/mês, pode ser MEI</t>
        </is>
      </c>
      <c r="D289" s="13" t="inlineStr">
        <is>
          <t>Cofins</t>
        </is>
      </c>
      <c r="E289" s="15" t="n">
        <v>180</v>
      </c>
      <c r="F289" s="8" t="n"/>
      <c r="G289" s="15">
        <f>IF(F289="","",E289-F289)</f>
        <v/>
      </c>
      <c r="H289" s="13" t="n"/>
      <c r="I289" s="14" t="n"/>
    </row>
    <row r="290">
      <c r="A290" s="13" t="inlineStr">
        <is>
          <t>AU1-LP</t>
        </is>
      </c>
      <c r="B290" s="13" t="inlineStr">
        <is>
          <t>Autônomo × CNPJ — Lucro Presumido (mensal)</t>
        </is>
      </c>
      <c r="C290" s="14" t="inlineStr">
        <is>
          <t>Receita R$ 6.000/mês, pode ser MEI</t>
        </is>
      </c>
      <c r="D290" s="13" t="inlineStr">
        <is>
          <t>ISS</t>
        </is>
      </c>
      <c r="E290" s="15" t="n">
        <v>300</v>
      </c>
      <c r="F290" s="8" t="n"/>
      <c r="G290" s="15">
        <f>IF(F290="","",E290-F290)</f>
        <v/>
      </c>
      <c r="H290" s="13" t="n"/>
      <c r="I290" s="14" t="n"/>
    </row>
    <row r="291">
      <c r="A291" s="13" t="inlineStr">
        <is>
          <t>AU1-LP</t>
        </is>
      </c>
      <c r="B291" s="13" t="inlineStr">
        <is>
          <t>Autônomo × CNPJ — Lucro Presumido (mensal)</t>
        </is>
      </c>
      <c r="C291" s="14" t="inlineStr">
        <is>
          <t>Receita R$ 6.000/mês, pode ser MEI</t>
        </is>
      </c>
      <c r="D291" s="13" t="inlineStr">
        <is>
          <t>INSS patronal</t>
        </is>
      </c>
      <c r="E291" s="15" t="n">
        <v>324.2</v>
      </c>
      <c r="F291" s="8" t="n"/>
      <c r="G291" s="15">
        <f>IF(F291="","",E291-F291)</f>
        <v/>
      </c>
      <c r="H291" s="13" t="n"/>
      <c r="I291" s="14" t="n"/>
    </row>
    <row r="292">
      <c r="A292" s="13" t="inlineStr">
        <is>
          <t>AU1-LP</t>
        </is>
      </c>
      <c r="B292" s="13" t="inlineStr">
        <is>
          <t>Autônomo × CNPJ — Lucro Presumido (mensal)</t>
        </is>
      </c>
      <c r="C292" s="14" t="inlineStr">
        <is>
          <t>Receita R$ 6.000/mês, pode ser MEI</t>
        </is>
      </c>
      <c r="D292" s="13" t="inlineStr">
        <is>
          <t>INSS sobre pró-labore (11%)</t>
        </is>
      </c>
      <c r="E292" s="15" t="n">
        <v>178.31</v>
      </c>
      <c r="F292" s="8" t="n"/>
      <c r="G292" s="15">
        <f>IF(F292="","",E292-F292)</f>
        <v/>
      </c>
      <c r="H292" s="13" t="n"/>
      <c r="I292" s="14" t="n"/>
    </row>
    <row r="293">
      <c r="A293" s="13" t="inlineStr">
        <is>
          <t>AU1-LP</t>
        </is>
      </c>
      <c r="B293" s="13" t="inlineStr">
        <is>
          <t>Autônomo × CNPJ — Lucro Presumido (mensal)</t>
        </is>
      </c>
      <c r="C293" s="14" t="inlineStr">
        <is>
          <t>Receita R$ 6.000/mês, pode ser MEI</t>
        </is>
      </c>
      <c r="D293" s="13" t="inlineStr">
        <is>
          <t>IRPF sobre pró-labore</t>
        </is>
      </c>
      <c r="E293" s="15" t="n">
        <v>0</v>
      </c>
      <c r="F293" s="8" t="n"/>
      <c r="G293" s="15">
        <f>IF(F293="","",E293-F293)</f>
        <v/>
      </c>
      <c r="H293" s="13" t="n"/>
      <c r="I293" s="14" t="n"/>
    </row>
    <row r="294">
      <c r="A294" s="16" t="inlineStr">
        <is>
          <t>AU1-LP</t>
        </is>
      </c>
      <c r="B294" s="16" t="inlineStr">
        <is>
          <t>Autônomo × CNPJ — Lucro Presumido (mensal)</t>
        </is>
      </c>
      <c r="C294" s="17" t="inlineStr">
        <is>
          <t>Receita R$ 6.000/mês, pode ser MEI</t>
        </is>
      </c>
      <c r="D294" s="16" t="inlineStr">
        <is>
          <t>TOTAL</t>
        </is>
      </c>
      <c r="E294" s="18">
        <f>SUM(E286:E293)</f>
        <v/>
      </c>
      <c r="F294" s="12" t="n"/>
      <c r="G294" s="18">
        <f>IF(F294="","",E294-F294)</f>
        <v/>
      </c>
      <c r="H294" s="16" t="n"/>
      <c r="I294" s="17" t="n"/>
    </row>
    <row r="295">
      <c r="A295" s="5" t="inlineStr">
        <is>
          <t>AU2-PF</t>
        </is>
      </c>
      <c r="B295" s="5" t="inlineStr">
        <is>
          <t>Autônomo × CNPJ — Autônomo (pessoa física) (mensal)</t>
        </is>
      </c>
      <c r="C295" s="6" t="inlineStr">
        <is>
          <t>Receita R$ 15.000/mês, despesas R$ 1.000</t>
        </is>
      </c>
      <c r="D295" s="5" t="inlineStr">
        <is>
          <t>INSS (20%)</t>
        </is>
      </c>
      <c r="E295" s="7" t="n">
        <v>1695.11</v>
      </c>
      <c r="F295" s="8" t="n"/>
      <c r="G295" s="7">
        <f>IF(F295="","",E295-F295)</f>
        <v/>
      </c>
      <c r="H295" s="5" t="n"/>
      <c r="I295" s="6" t="n"/>
    </row>
    <row r="296">
      <c r="A296" s="5" t="inlineStr">
        <is>
          <t>AU2-PF</t>
        </is>
      </c>
      <c r="B296" s="5" t="inlineStr">
        <is>
          <t>Autônomo × CNPJ — Autônomo (pessoa física) (mensal)</t>
        </is>
      </c>
      <c r="C296" s="6" t="inlineStr">
        <is>
          <t>Receita R$ 15.000/mês, despesas R$ 1.000</t>
        </is>
      </c>
      <c r="D296" s="5" t="inlineStr">
        <is>
          <t>IRPF (carnê-leão)</t>
        </is>
      </c>
      <c r="E296" s="7" t="n">
        <v>2475.11</v>
      </c>
      <c r="F296" s="8" t="n"/>
      <c r="G296" s="7">
        <f>IF(F296="","",E296-F296)</f>
        <v/>
      </c>
      <c r="H296" s="5" t="n"/>
      <c r="I296" s="6" t="n"/>
    </row>
    <row r="297">
      <c r="A297" s="9" t="inlineStr">
        <is>
          <t>AU2-PF</t>
        </is>
      </c>
      <c r="B297" s="9" t="inlineStr">
        <is>
          <t>Autônomo × CNPJ — Autônomo (pessoa física) (mensal)</t>
        </is>
      </c>
      <c r="C297" s="10" t="inlineStr">
        <is>
          <t>Receita R$ 15.000/mês, despesas R$ 1.000</t>
        </is>
      </c>
      <c r="D297" s="9" t="inlineStr">
        <is>
          <t>TOTAL</t>
        </is>
      </c>
      <c r="E297" s="11">
        <f>SUM(E295:E296)</f>
        <v/>
      </c>
      <c r="F297" s="12" t="n"/>
      <c r="G297" s="11">
        <f>IF(F297="","",E297-F297)</f>
        <v/>
      </c>
      <c r="H297" s="9" t="n"/>
      <c r="I297" s="10" t="n"/>
    </row>
    <row r="298">
      <c r="A298" s="13" t="inlineStr">
        <is>
          <t>AU2-SN</t>
        </is>
      </c>
      <c r="B298" s="13" t="inlineStr">
        <is>
          <t>Autônomo × CNPJ — Simples Nacional (mensal)</t>
        </is>
      </c>
      <c r="C298" s="14" t="inlineStr">
        <is>
          <t>Receita R$ 15.000/mês, despesas R$ 1.000</t>
        </is>
      </c>
      <c r="D298" s="13" t="inlineStr">
        <is>
          <t>DAS</t>
        </is>
      </c>
      <c r="E298" s="15" t="n">
        <v>900</v>
      </c>
      <c r="F298" s="8" t="n"/>
      <c r="G298" s="15">
        <f>IF(F298="","",E298-F298)</f>
        <v/>
      </c>
      <c r="H298" s="13" t="n"/>
      <c r="I298" s="14" t="n"/>
    </row>
    <row r="299">
      <c r="A299" s="13" t="inlineStr">
        <is>
          <t>AU2-SN</t>
        </is>
      </c>
      <c r="B299" s="13" t="inlineStr">
        <is>
          <t>Autônomo × CNPJ — Simples Nacional (mensal)</t>
        </is>
      </c>
      <c r="C299" s="14" t="inlineStr">
        <is>
          <t>Receita R$ 15.000/mês, despesas R$ 1.000</t>
        </is>
      </c>
      <c r="D299" s="13" t="inlineStr">
        <is>
          <t>INSS sobre pró-labore (11%)</t>
        </is>
      </c>
      <c r="E299" s="15" t="n">
        <v>462</v>
      </c>
      <c r="F299" s="8" t="n"/>
      <c r="G299" s="15">
        <f>IF(F299="","",E299-F299)</f>
        <v/>
      </c>
      <c r="H299" s="13" t="n"/>
      <c r="I299" s="14" t="n"/>
    </row>
    <row r="300">
      <c r="A300" s="13" t="inlineStr">
        <is>
          <t>AU2-SN</t>
        </is>
      </c>
      <c r="B300" s="13" t="inlineStr">
        <is>
          <t>Autônomo × CNPJ — Simples Nacional (mensal)</t>
        </is>
      </c>
      <c r="C300" s="14" t="inlineStr">
        <is>
          <t>Receita R$ 15.000/mês, despesas R$ 1.000</t>
        </is>
      </c>
      <c r="D300" s="13" t="inlineStr">
        <is>
          <t>IRPF sobre pró-labore</t>
        </is>
      </c>
      <c r="E300" s="15" t="n">
        <v>0</v>
      </c>
      <c r="F300" s="8" t="n"/>
      <c r="G300" s="15">
        <f>IF(F300="","",E300-F300)</f>
        <v/>
      </c>
      <c r="H300" s="13" t="n"/>
      <c r="I300" s="14" t="n"/>
    </row>
    <row r="301">
      <c r="A301" s="16" t="inlineStr">
        <is>
          <t>AU2-SN</t>
        </is>
      </c>
      <c r="B301" s="16" t="inlineStr">
        <is>
          <t>Autônomo × CNPJ — Simples Nacional (mensal)</t>
        </is>
      </c>
      <c r="C301" s="17" t="inlineStr">
        <is>
          <t>Receita R$ 15.000/mês, despesas R$ 1.000</t>
        </is>
      </c>
      <c r="D301" s="16" t="inlineStr">
        <is>
          <t>TOTAL</t>
        </is>
      </c>
      <c r="E301" s="18">
        <f>SUM(E298:E300)</f>
        <v/>
      </c>
      <c r="F301" s="12" t="n"/>
      <c r="G301" s="18">
        <f>IF(F301="","",E301-F301)</f>
        <v/>
      </c>
      <c r="H301" s="16" t="n"/>
      <c r="I301" s="17" t="n"/>
    </row>
    <row r="302">
      <c r="A302" s="5" t="inlineStr">
        <is>
          <t>AU2-LP</t>
        </is>
      </c>
      <c r="B302" s="5" t="inlineStr">
        <is>
          <t>Autônomo × CNPJ — Lucro Presumido (mensal)</t>
        </is>
      </c>
      <c r="C302" s="6" t="inlineStr">
        <is>
          <t>Receita R$ 15.000/mês, despesas R$ 1.000</t>
        </is>
      </c>
      <c r="D302" s="5" t="inlineStr">
        <is>
          <t>IRPJ</t>
        </is>
      </c>
      <c r="E302" s="7" t="n">
        <v>720</v>
      </c>
      <c r="F302" s="8" t="n"/>
      <c r="G302" s="7">
        <f>IF(F302="","",E302-F302)</f>
        <v/>
      </c>
      <c r="H302" s="5" t="n"/>
      <c r="I302" s="6" t="n"/>
    </row>
    <row r="303">
      <c r="A303" s="5" t="inlineStr">
        <is>
          <t>AU2-LP</t>
        </is>
      </c>
      <c r="B303" s="5" t="inlineStr">
        <is>
          <t>Autônomo × CNPJ — Lucro Presumido (mensal)</t>
        </is>
      </c>
      <c r="C303" s="6" t="inlineStr">
        <is>
          <t>Receita R$ 15.000/mês, despesas R$ 1.000</t>
        </is>
      </c>
      <c r="D303" s="5" t="inlineStr">
        <is>
          <t>CSLL</t>
        </is>
      </c>
      <c r="E303" s="7" t="n">
        <v>432</v>
      </c>
      <c r="F303" s="8" t="n"/>
      <c r="G303" s="7">
        <f>IF(F303="","",E303-F303)</f>
        <v/>
      </c>
      <c r="H303" s="5" t="n"/>
      <c r="I303" s="6" t="n"/>
    </row>
    <row r="304">
      <c r="A304" s="5" t="inlineStr">
        <is>
          <t>AU2-LP</t>
        </is>
      </c>
      <c r="B304" s="5" t="inlineStr">
        <is>
          <t>Autônomo × CNPJ — Lucro Presumido (mensal)</t>
        </is>
      </c>
      <c r="C304" s="6" t="inlineStr">
        <is>
          <t>Receita R$ 15.000/mês, despesas R$ 1.000</t>
        </is>
      </c>
      <c r="D304" s="5" t="inlineStr">
        <is>
          <t>PIS</t>
        </is>
      </c>
      <c r="E304" s="7" t="n">
        <v>97.5</v>
      </c>
      <c r="F304" s="8" t="n"/>
      <c r="G304" s="7">
        <f>IF(F304="","",E304-F304)</f>
        <v/>
      </c>
      <c r="H304" s="5" t="n"/>
      <c r="I304" s="6" t="n"/>
    </row>
    <row r="305">
      <c r="A305" s="5" t="inlineStr">
        <is>
          <t>AU2-LP</t>
        </is>
      </c>
      <c r="B305" s="5" t="inlineStr">
        <is>
          <t>Autônomo × CNPJ — Lucro Presumido (mensal)</t>
        </is>
      </c>
      <c r="C305" s="6" t="inlineStr">
        <is>
          <t>Receita R$ 15.000/mês, despesas R$ 1.000</t>
        </is>
      </c>
      <c r="D305" s="5" t="inlineStr">
        <is>
          <t>Cofins</t>
        </is>
      </c>
      <c r="E305" s="7" t="n">
        <v>450</v>
      </c>
      <c r="F305" s="8" t="n"/>
      <c r="G305" s="7">
        <f>IF(F305="","",E305-F305)</f>
        <v/>
      </c>
      <c r="H305" s="5" t="n"/>
      <c r="I305" s="6" t="n"/>
    </row>
    <row r="306">
      <c r="A306" s="5" t="inlineStr">
        <is>
          <t>AU2-LP</t>
        </is>
      </c>
      <c r="B306" s="5" t="inlineStr">
        <is>
          <t>Autônomo × CNPJ — Lucro Presumido (mensal)</t>
        </is>
      </c>
      <c r="C306" s="6" t="inlineStr">
        <is>
          <t>Receita R$ 15.000/mês, despesas R$ 1.000</t>
        </is>
      </c>
      <c r="D306" s="5" t="inlineStr">
        <is>
          <t>ISS</t>
        </is>
      </c>
      <c r="E306" s="7" t="n">
        <v>750</v>
      </c>
      <c r="F306" s="8" t="n"/>
      <c r="G306" s="7">
        <f>IF(F306="","",E306-F306)</f>
        <v/>
      </c>
      <c r="H306" s="5" t="n"/>
      <c r="I306" s="6" t="n"/>
    </row>
    <row r="307">
      <c r="A307" s="5" t="inlineStr">
        <is>
          <t>AU2-LP</t>
        </is>
      </c>
      <c r="B307" s="5" t="inlineStr">
        <is>
          <t>Autônomo × CNPJ — Lucro Presumido (mensal)</t>
        </is>
      </c>
      <c r="C307" s="6" t="inlineStr">
        <is>
          <t>Receita R$ 15.000/mês, despesas R$ 1.000</t>
        </is>
      </c>
      <c r="D307" s="5" t="inlineStr">
        <is>
          <t>INSS patronal</t>
        </is>
      </c>
      <c r="E307" s="7" t="n">
        <v>324.2</v>
      </c>
      <c r="F307" s="8" t="n"/>
      <c r="G307" s="7">
        <f>IF(F307="","",E307-F307)</f>
        <v/>
      </c>
      <c r="H307" s="5" t="n"/>
      <c r="I307" s="6" t="n"/>
    </row>
    <row r="308">
      <c r="A308" s="5" t="inlineStr">
        <is>
          <t>AU2-LP</t>
        </is>
      </c>
      <c r="B308" s="5" t="inlineStr">
        <is>
          <t>Autônomo × CNPJ — Lucro Presumido (mensal)</t>
        </is>
      </c>
      <c r="C308" s="6" t="inlineStr">
        <is>
          <t>Receita R$ 15.000/mês, despesas R$ 1.000</t>
        </is>
      </c>
      <c r="D308" s="5" t="inlineStr">
        <is>
          <t>INSS sobre pró-labore (11%)</t>
        </is>
      </c>
      <c r="E308" s="7" t="n">
        <v>178.31</v>
      </c>
      <c r="F308" s="8" t="n"/>
      <c r="G308" s="7">
        <f>IF(F308="","",E308-F308)</f>
        <v/>
      </c>
      <c r="H308" s="5" t="n"/>
      <c r="I308" s="6" t="n"/>
    </row>
    <row r="309">
      <c r="A309" s="5" t="inlineStr">
        <is>
          <t>AU2-LP</t>
        </is>
      </c>
      <c r="B309" s="5" t="inlineStr">
        <is>
          <t>Autônomo × CNPJ — Lucro Presumido (mensal)</t>
        </is>
      </c>
      <c r="C309" s="6" t="inlineStr">
        <is>
          <t>Receita R$ 15.000/mês, despesas R$ 1.000</t>
        </is>
      </c>
      <c r="D309" s="5" t="inlineStr">
        <is>
          <t>IRPF sobre pró-labore</t>
        </is>
      </c>
      <c r="E309" s="7" t="n">
        <v>0</v>
      </c>
      <c r="F309" s="8" t="n"/>
      <c r="G309" s="7">
        <f>IF(F309="","",E309-F309)</f>
        <v/>
      </c>
      <c r="H309" s="5" t="n"/>
      <c r="I309" s="6" t="n"/>
    </row>
    <row r="310">
      <c r="A310" s="9" t="inlineStr">
        <is>
          <t>AU2-LP</t>
        </is>
      </c>
      <c r="B310" s="9" t="inlineStr">
        <is>
          <t>Autônomo × CNPJ — Lucro Presumido (mensal)</t>
        </is>
      </c>
      <c r="C310" s="10" t="inlineStr">
        <is>
          <t>Receita R$ 15.000/mês, despesas R$ 1.000</t>
        </is>
      </c>
      <c r="D310" s="9" t="inlineStr">
        <is>
          <t>TOTAL</t>
        </is>
      </c>
      <c r="E310" s="11">
        <f>SUM(E302:E309)</f>
        <v/>
      </c>
      <c r="F310" s="12" t="n"/>
      <c r="G310" s="11">
        <f>IF(F310="","",E310-F310)</f>
        <v/>
      </c>
      <c r="H310" s="9" t="n"/>
      <c r="I310" s="10" t="n"/>
    </row>
    <row r="311">
      <c r="A311" s="13" t="inlineStr">
        <is>
          <t>AU3-PF</t>
        </is>
      </c>
      <c r="B311" s="13" t="inlineStr">
        <is>
          <t>Autônomo × CNPJ — Autônomo (pessoa física) (mensal)</t>
        </is>
      </c>
      <c r="C311" s="14" t="inlineStr">
        <is>
          <t>Receita R$ 40.000/mês, 1 dependente</t>
        </is>
      </c>
      <c r="D311" s="13" t="inlineStr">
        <is>
          <t>INSS (20%)</t>
        </is>
      </c>
      <c r="E311" s="15" t="n">
        <v>1695.11</v>
      </c>
      <c r="F311" s="8" t="n"/>
      <c r="G311" s="15">
        <f>IF(F311="","",E311-F311)</f>
        <v/>
      </c>
      <c r="H311" s="13" t="n"/>
      <c r="I311" s="14" t="n"/>
    </row>
    <row r="312">
      <c r="A312" s="13" t="inlineStr">
        <is>
          <t>AU3-PF</t>
        </is>
      </c>
      <c r="B312" s="13" t="inlineStr">
        <is>
          <t>Autônomo × CNPJ — Autônomo (pessoa física) (mensal)</t>
        </is>
      </c>
      <c r="C312" s="14" t="inlineStr">
        <is>
          <t>Receita R$ 40.000/mês, 1 dependente</t>
        </is>
      </c>
      <c r="D312" s="13" t="inlineStr">
        <is>
          <t>IRPF (carnê-leão)</t>
        </is>
      </c>
      <c r="E312" s="15" t="n">
        <v>9572.98</v>
      </c>
      <c r="F312" s="8" t="n"/>
      <c r="G312" s="15">
        <f>IF(F312="","",E312-F312)</f>
        <v/>
      </c>
      <c r="H312" s="13" t="n"/>
      <c r="I312" s="14" t="n"/>
    </row>
    <row r="313">
      <c r="A313" s="16" t="inlineStr">
        <is>
          <t>AU3-PF</t>
        </is>
      </c>
      <c r="B313" s="16" t="inlineStr">
        <is>
          <t>Autônomo × CNPJ — Autônomo (pessoa física) (mensal)</t>
        </is>
      </c>
      <c r="C313" s="17" t="inlineStr">
        <is>
          <t>Receita R$ 40.000/mês, 1 dependente</t>
        </is>
      </c>
      <c r="D313" s="16" t="inlineStr">
        <is>
          <t>TOTAL</t>
        </is>
      </c>
      <c r="E313" s="18">
        <f>SUM(E311:E312)</f>
        <v/>
      </c>
      <c r="F313" s="12" t="n"/>
      <c r="G313" s="18">
        <f>IF(F313="","",E313-F313)</f>
        <v/>
      </c>
      <c r="H313" s="16" t="n"/>
      <c r="I313" s="17" t="n"/>
    </row>
    <row r="314">
      <c r="A314" s="5" t="inlineStr">
        <is>
          <t>AU3-SN</t>
        </is>
      </c>
      <c r="B314" s="5" t="inlineStr">
        <is>
          <t>Autônomo × CNPJ — Simples Nacional (mensal)</t>
        </is>
      </c>
      <c r="C314" s="6" t="inlineStr">
        <is>
          <t>Receita R$ 40.000/mês, 1 dependente</t>
        </is>
      </c>
      <c r="D314" s="5" t="inlineStr">
        <is>
          <t>DAS</t>
        </is>
      </c>
      <c r="E314" s="7" t="n">
        <v>3930</v>
      </c>
      <c r="F314" s="8" t="n"/>
      <c r="G314" s="7">
        <f>IF(F314="","",E314-F314)</f>
        <v/>
      </c>
      <c r="H314" s="5" t="n"/>
      <c r="I314" s="6" t="n"/>
    </row>
    <row r="315">
      <c r="A315" s="5" t="inlineStr">
        <is>
          <t>AU3-SN</t>
        </is>
      </c>
      <c r="B315" s="5" t="inlineStr">
        <is>
          <t>Autônomo × CNPJ — Simples Nacional (mensal)</t>
        </is>
      </c>
      <c r="C315" s="6" t="inlineStr">
        <is>
          <t>Receita R$ 40.000/mês, 1 dependente</t>
        </is>
      </c>
      <c r="D315" s="5" t="inlineStr">
        <is>
          <t>INSS sobre pró-labore (11%)</t>
        </is>
      </c>
      <c r="E315" s="7" t="n">
        <v>932.3099999999999</v>
      </c>
      <c r="F315" s="8" t="n"/>
      <c r="G315" s="7">
        <f>IF(F315="","",E315-F315)</f>
        <v/>
      </c>
      <c r="H315" s="5" t="n"/>
      <c r="I315" s="6" t="n"/>
    </row>
    <row r="316">
      <c r="A316" s="5" t="inlineStr">
        <is>
          <t>AU3-SN</t>
        </is>
      </c>
      <c r="B316" s="5" t="inlineStr">
        <is>
          <t>Autônomo × CNPJ — Simples Nacional (mensal)</t>
        </is>
      </c>
      <c r="C316" s="6" t="inlineStr">
        <is>
          <t>Receita R$ 40.000/mês, 1 dependente</t>
        </is>
      </c>
      <c r="D316" s="5" t="inlineStr">
        <is>
          <t>IRPF sobre pró-labore</t>
        </is>
      </c>
      <c r="E316" s="7" t="n">
        <v>1914.89</v>
      </c>
      <c r="F316" s="8" t="n"/>
      <c r="G316" s="7">
        <f>IF(F316="","",E316-F316)</f>
        <v/>
      </c>
      <c r="H316" s="5" t="n"/>
      <c r="I316" s="6" t="n"/>
    </row>
    <row r="317">
      <c r="A317" s="9" t="inlineStr">
        <is>
          <t>AU3-SN</t>
        </is>
      </c>
      <c r="B317" s="9" t="inlineStr">
        <is>
          <t>Autônomo × CNPJ — Simples Nacional (mensal)</t>
        </is>
      </c>
      <c r="C317" s="10" t="inlineStr">
        <is>
          <t>Receita R$ 40.000/mês, 1 dependente</t>
        </is>
      </c>
      <c r="D317" s="9" t="inlineStr">
        <is>
          <t>TOTAL</t>
        </is>
      </c>
      <c r="E317" s="11">
        <f>SUM(E314:E316)</f>
        <v/>
      </c>
      <c r="F317" s="12" t="n"/>
      <c r="G317" s="11">
        <f>IF(F317="","",E317-F317)</f>
        <v/>
      </c>
      <c r="H317" s="9" t="n"/>
      <c r="I317" s="10" t="n"/>
    </row>
    <row r="318">
      <c r="A318" s="13" t="inlineStr">
        <is>
          <t>AU3-LP</t>
        </is>
      </c>
      <c r="B318" s="13" t="inlineStr">
        <is>
          <t>Autônomo × CNPJ — Lucro Presumido (mensal)</t>
        </is>
      </c>
      <c r="C318" s="14" t="inlineStr">
        <is>
          <t>Receita R$ 40.000/mês, 1 dependente</t>
        </is>
      </c>
      <c r="D318" s="13" t="inlineStr">
        <is>
          <t>IRPJ</t>
        </is>
      </c>
      <c r="E318" s="15" t="n">
        <v>1920</v>
      </c>
      <c r="F318" s="8" t="n"/>
      <c r="G318" s="15">
        <f>IF(F318="","",E318-F318)</f>
        <v/>
      </c>
      <c r="H318" s="13" t="n"/>
      <c r="I318" s="14" t="n"/>
    </row>
    <row r="319">
      <c r="A319" s="13" t="inlineStr">
        <is>
          <t>AU3-LP</t>
        </is>
      </c>
      <c r="B319" s="13" t="inlineStr">
        <is>
          <t>Autônomo × CNPJ — Lucro Presumido (mensal)</t>
        </is>
      </c>
      <c r="C319" s="14" t="inlineStr">
        <is>
          <t>Receita R$ 40.000/mês, 1 dependente</t>
        </is>
      </c>
      <c r="D319" s="13" t="inlineStr">
        <is>
          <t>CSLL</t>
        </is>
      </c>
      <c r="E319" s="15" t="n">
        <v>1152</v>
      </c>
      <c r="F319" s="8" t="n"/>
      <c r="G319" s="15">
        <f>IF(F319="","",E319-F319)</f>
        <v/>
      </c>
      <c r="H319" s="13" t="n"/>
      <c r="I319" s="14" t="n"/>
    </row>
    <row r="320">
      <c r="A320" s="13" t="inlineStr">
        <is>
          <t>AU3-LP</t>
        </is>
      </c>
      <c r="B320" s="13" t="inlineStr">
        <is>
          <t>Autônomo × CNPJ — Lucro Presumido (mensal)</t>
        </is>
      </c>
      <c r="C320" s="14" t="inlineStr">
        <is>
          <t>Receita R$ 40.000/mês, 1 dependente</t>
        </is>
      </c>
      <c r="D320" s="13" t="inlineStr">
        <is>
          <t>PIS</t>
        </is>
      </c>
      <c r="E320" s="15" t="n">
        <v>260</v>
      </c>
      <c r="F320" s="8" t="n"/>
      <c r="G320" s="15">
        <f>IF(F320="","",E320-F320)</f>
        <v/>
      </c>
      <c r="H320" s="13" t="n"/>
      <c r="I320" s="14" t="n"/>
    </row>
    <row r="321">
      <c r="A321" s="13" t="inlineStr">
        <is>
          <t>AU3-LP</t>
        </is>
      </c>
      <c r="B321" s="13" t="inlineStr">
        <is>
          <t>Autônomo × CNPJ — Lucro Presumido (mensal)</t>
        </is>
      </c>
      <c r="C321" s="14" t="inlineStr">
        <is>
          <t>Receita R$ 40.000/mês, 1 dependente</t>
        </is>
      </c>
      <c r="D321" s="13" t="inlineStr">
        <is>
          <t>Cofins</t>
        </is>
      </c>
      <c r="E321" s="15" t="n">
        <v>1200</v>
      </c>
      <c r="F321" s="8" t="n"/>
      <c r="G321" s="15">
        <f>IF(F321="","",E321-F321)</f>
        <v/>
      </c>
      <c r="H321" s="13" t="n"/>
      <c r="I321" s="14" t="n"/>
    </row>
    <row r="322">
      <c r="A322" s="13" t="inlineStr">
        <is>
          <t>AU3-LP</t>
        </is>
      </c>
      <c r="B322" s="13" t="inlineStr">
        <is>
          <t>Autônomo × CNPJ — Lucro Presumido (mensal)</t>
        </is>
      </c>
      <c r="C322" s="14" t="inlineStr">
        <is>
          <t>Receita R$ 40.000/mês, 1 dependente</t>
        </is>
      </c>
      <c r="D322" s="13" t="inlineStr">
        <is>
          <t>ISS</t>
        </is>
      </c>
      <c r="E322" s="15" t="n">
        <v>2000</v>
      </c>
      <c r="F322" s="8" t="n"/>
      <c r="G322" s="15">
        <f>IF(F322="","",E322-F322)</f>
        <v/>
      </c>
      <c r="H322" s="13" t="n"/>
      <c r="I322" s="14" t="n"/>
    </row>
    <row r="323">
      <c r="A323" s="13" t="inlineStr">
        <is>
          <t>AU3-LP</t>
        </is>
      </c>
      <c r="B323" s="13" t="inlineStr">
        <is>
          <t>Autônomo × CNPJ — Lucro Presumido (mensal)</t>
        </is>
      </c>
      <c r="C323" s="14" t="inlineStr">
        <is>
          <t>Receita R$ 40.000/mês, 1 dependente</t>
        </is>
      </c>
      <c r="D323" s="13" t="inlineStr">
        <is>
          <t>INSS patronal</t>
        </is>
      </c>
      <c r="E323" s="15" t="n">
        <v>324.2</v>
      </c>
      <c r="F323" s="8" t="n"/>
      <c r="G323" s="15">
        <f>IF(F323="","",E323-F323)</f>
        <v/>
      </c>
      <c r="H323" s="13" t="n"/>
      <c r="I323" s="14" t="n"/>
    </row>
    <row r="324">
      <c r="A324" s="13" t="inlineStr">
        <is>
          <t>AU3-LP</t>
        </is>
      </c>
      <c r="B324" s="13" t="inlineStr">
        <is>
          <t>Autônomo × CNPJ — Lucro Presumido (mensal)</t>
        </is>
      </c>
      <c r="C324" s="14" t="inlineStr">
        <is>
          <t>Receita R$ 40.000/mês, 1 dependente</t>
        </is>
      </c>
      <c r="D324" s="13" t="inlineStr">
        <is>
          <t>INSS sobre pró-labore (11%)</t>
        </is>
      </c>
      <c r="E324" s="15" t="n">
        <v>178.31</v>
      </c>
      <c r="F324" s="8" t="n"/>
      <c r="G324" s="15">
        <f>IF(F324="","",E324-F324)</f>
        <v/>
      </c>
      <c r="H324" s="13" t="n"/>
      <c r="I324" s="14" t="n"/>
    </row>
    <row r="325">
      <c r="A325" s="13" t="inlineStr">
        <is>
          <t>AU3-LP</t>
        </is>
      </c>
      <c r="B325" s="13" t="inlineStr">
        <is>
          <t>Autônomo × CNPJ — Lucro Presumido (mensal)</t>
        </is>
      </c>
      <c r="C325" s="14" t="inlineStr">
        <is>
          <t>Receita R$ 40.000/mês, 1 dependente</t>
        </is>
      </c>
      <c r="D325" s="13" t="inlineStr">
        <is>
          <t>IRPF sobre pró-labore</t>
        </is>
      </c>
      <c r="E325" s="15" t="n">
        <v>0</v>
      </c>
      <c r="F325" s="8" t="n"/>
      <c r="G325" s="15">
        <f>IF(F325="","",E325-F325)</f>
        <v/>
      </c>
      <c r="H325" s="13" t="n"/>
      <c r="I325" s="14" t="n"/>
    </row>
    <row r="326">
      <c r="A326" s="16" t="inlineStr">
        <is>
          <t>AU3-LP</t>
        </is>
      </c>
      <c r="B326" s="16" t="inlineStr">
        <is>
          <t>Autônomo × CNPJ — Lucro Presumido (mensal)</t>
        </is>
      </c>
      <c r="C326" s="17" t="inlineStr">
        <is>
          <t>Receita R$ 40.000/mês, 1 dependente</t>
        </is>
      </c>
      <c r="D326" s="16" t="inlineStr">
        <is>
          <t>TOTAL</t>
        </is>
      </c>
      <c r="E326" s="18">
        <f>SUM(E318:E325)</f>
        <v/>
      </c>
      <c r="F326" s="12" t="n"/>
      <c r="G326" s="18">
        <f>IF(F326="","",E326-F326)</f>
        <v/>
      </c>
      <c r="H326" s="16" t="n"/>
      <c r="I326" s="17" t="n"/>
    </row>
    <row r="327">
      <c r="A327" s="5" t="inlineStr">
        <is>
          <t>REC1</t>
        </is>
      </c>
      <c r="B327" s="5" t="inlineStr">
        <is>
          <t>Recuperação: PIS/Cofins monofásico e ICMS-ST (jan/2026)</t>
        </is>
      </c>
      <c r="C327" s="6" t="inlineStr">
        <is>
          <t>Comércio (Anexo I), RBT12 R$ 1.200.000; vendas de R$ 10.000 em monofásicos e R$ 20.000 com ST</t>
        </is>
      </c>
      <c r="D327" s="5" t="inlineStr">
        <is>
          <t>PIS/Cofins pagos a mais (produtos monofásicos)</t>
        </is>
      </c>
      <c r="E327" s="7" t="n">
        <v>136.79</v>
      </c>
      <c r="F327" s="8" t="n"/>
      <c r="G327" s="7">
        <f>IF(F327="","",E327-F327)</f>
        <v/>
      </c>
      <c r="H327" s="5" t="n"/>
      <c r="I327" s="6" t="n"/>
    </row>
    <row r="328">
      <c r="A328" s="5" t="inlineStr">
        <is>
          <t>REC1</t>
        </is>
      </c>
      <c r="B328" s="5" t="inlineStr">
        <is>
          <t>Recuperação: PIS/Cofins monofásico e ICMS-ST (jan/2026)</t>
        </is>
      </c>
      <c r="C328" s="6" t="inlineStr">
        <is>
          <t>Comércio (Anexo I), RBT12 R$ 1.200.000; vendas de R$ 10.000 em monofásicos e R$ 20.000 com ST</t>
        </is>
      </c>
      <c r="D328" s="5" t="inlineStr">
        <is>
          <t>ICMS pago a mais (produtos com ST)</t>
        </is>
      </c>
      <c r="E328" s="7" t="n">
        <v>591.28</v>
      </c>
      <c r="F328" s="8" t="n"/>
      <c r="G328" s="7">
        <f>IF(F328="","",E328-F328)</f>
        <v/>
      </c>
      <c r="H328" s="5" t="n"/>
      <c r="I328" s="6" t="n"/>
    </row>
    <row r="329">
      <c r="A329" s="9" t="inlineStr">
        <is>
          <t>REC1</t>
        </is>
      </c>
      <c r="B329" s="9" t="inlineStr">
        <is>
          <t>Recuperação: PIS/Cofins monofásico e ICMS-ST (jan/2026)</t>
        </is>
      </c>
      <c r="C329" s="10" t="inlineStr">
        <is>
          <t>Comércio (Anexo I), RBT12 R$ 1.200.000; vendas de R$ 10.000 em monofásicos e R$ 20.000 com ST</t>
        </is>
      </c>
      <c r="D329" s="9" t="inlineStr">
        <is>
          <t>TOTAL</t>
        </is>
      </c>
      <c r="E329" s="11">
        <f>SUM(E327:E328)</f>
        <v/>
      </c>
      <c r="F329" s="12" t="n"/>
      <c r="G329" s="11">
        <f>IF(F329="","",E329-F329)</f>
        <v/>
      </c>
      <c r="H329" s="9" t="n"/>
      <c r="I329" s="10" t="n"/>
    </row>
    <row r="330">
      <c r="A330" s="13" t="inlineStr">
        <is>
          <t>REC2</t>
        </is>
      </c>
      <c r="B330" s="13" t="inlineStr">
        <is>
          <t>Recuperação: PIS/Cofins monofásico e ICMS-ST (jan/2026)</t>
        </is>
      </c>
      <c r="C330" s="14" t="inlineStr">
        <is>
          <t>Comércio (Anexo I), RBT12 R$ 4.800.000 (6ª faixa: ICMS fora do DAS); R$ 10.000 em cada</t>
        </is>
      </c>
      <c r="D330" s="13" t="inlineStr">
        <is>
          <t>PIS/Cofins pagos a mais (produtos monofásicos)</t>
        </is>
      </c>
      <c r="E330" s="15" t="n">
        <v>382.7</v>
      </c>
      <c r="F330" s="8" t="n"/>
      <c r="G330" s="15">
        <f>IF(F330="","",E330-F330)</f>
        <v/>
      </c>
      <c r="H330" s="13" t="n"/>
      <c r="I330" s="14" t="n"/>
    </row>
    <row r="331">
      <c r="A331" s="13" t="inlineStr">
        <is>
          <t>REC2</t>
        </is>
      </c>
      <c r="B331" s="13" t="inlineStr">
        <is>
          <t>Recuperação: PIS/Cofins monofásico e ICMS-ST (jan/2026)</t>
        </is>
      </c>
      <c r="C331" s="14" t="inlineStr">
        <is>
          <t>Comércio (Anexo I), RBT12 R$ 4.800.000 (6ª faixa: ICMS fora do DAS); R$ 10.000 em cada</t>
        </is>
      </c>
      <c r="D331" s="13" t="inlineStr">
        <is>
          <t>ICMS pago a mais (produtos com ST)</t>
        </is>
      </c>
      <c r="E331" s="15" t="n">
        <v>0</v>
      </c>
      <c r="F331" s="8" t="n"/>
      <c r="G331" s="15">
        <f>IF(F331="","",E331-F331)</f>
        <v/>
      </c>
      <c r="H331" s="13" t="n"/>
      <c r="I331" s="14" t="n"/>
    </row>
    <row r="332">
      <c r="A332" s="16" t="inlineStr">
        <is>
          <t>REC2</t>
        </is>
      </c>
      <c r="B332" s="16" t="inlineStr">
        <is>
          <t>Recuperação: PIS/Cofins monofásico e ICMS-ST (jan/2026)</t>
        </is>
      </c>
      <c r="C332" s="17" t="inlineStr">
        <is>
          <t>Comércio (Anexo I), RBT12 R$ 4.800.000 (6ª faixa: ICMS fora do DAS); R$ 10.000 em cada</t>
        </is>
      </c>
      <c r="D332" s="16" t="inlineStr">
        <is>
          <t>TOTAL</t>
        </is>
      </c>
      <c r="E332" s="18">
        <f>SUM(E330:E331)</f>
        <v/>
      </c>
      <c r="F332" s="12" t="n"/>
      <c r="G332" s="18">
        <f>IF(F332="","",E332-F332)</f>
        <v/>
      </c>
      <c r="H332" s="16" t="n"/>
      <c r="I332" s="17" t="n"/>
    </row>
    <row r="333">
      <c r="A333" s="5" t="inlineStr">
        <is>
          <t>REC3</t>
        </is>
      </c>
      <c r="B333" s="5" t="inlineStr">
        <is>
          <t>Recuperação: PIS/Cofins monofásico e ICMS-ST (jan/2026)</t>
        </is>
      </c>
      <c r="C333" s="6" t="inlineStr">
        <is>
          <t>Indústria (Anexo II), RBT12 R$ 600.000; R$ 8.000 em monofásicos e R$ 12.000 com ST</t>
        </is>
      </c>
      <c r="D333" s="5" t="inlineStr">
        <is>
          <t>PIS/Cofins pagos a mais (produtos monofásicos)</t>
        </is>
      </c>
      <c r="E333" s="7" t="n">
        <v>86.13</v>
      </c>
      <c r="F333" s="8" t="n"/>
      <c r="G333" s="7">
        <f>IF(F333="","",E333-F333)</f>
        <v/>
      </c>
      <c r="H333" s="5" t="n"/>
      <c r="I333" s="6" t="n"/>
    </row>
    <row r="334">
      <c r="A334" s="5" t="inlineStr">
        <is>
          <t>REC3</t>
        </is>
      </c>
      <c r="B334" s="5" t="inlineStr">
        <is>
          <t>Recuperação: PIS/Cofins monofásico e ICMS-ST (jan/2026)</t>
        </is>
      </c>
      <c r="C334" s="6" t="inlineStr">
        <is>
          <t>Indústria (Anexo II), RBT12 R$ 600.000; R$ 8.000 em monofásicos e R$ 12.000 com ST</t>
        </is>
      </c>
      <c r="D334" s="5" t="inlineStr">
        <is>
          <t>ICMS pago a mais (produtos com ST)</t>
        </is>
      </c>
      <c r="E334" s="7" t="n">
        <v>295.3</v>
      </c>
      <c r="F334" s="8" t="n"/>
      <c r="G334" s="7">
        <f>IF(F334="","",E334-F334)</f>
        <v/>
      </c>
      <c r="H334" s="5" t="n"/>
      <c r="I334" s="6" t="n"/>
    </row>
    <row r="335">
      <c r="A335" s="9" t="inlineStr">
        <is>
          <t>REC3</t>
        </is>
      </c>
      <c r="B335" s="9" t="inlineStr">
        <is>
          <t>Recuperação: PIS/Cofins monofásico e ICMS-ST (jan/2026)</t>
        </is>
      </c>
      <c r="C335" s="10" t="inlineStr">
        <is>
          <t>Indústria (Anexo II), RBT12 R$ 600.000; R$ 8.000 em monofásicos e R$ 12.000 com ST</t>
        </is>
      </c>
      <c r="D335" s="9" t="inlineStr">
        <is>
          <t>TOTAL</t>
        </is>
      </c>
      <c r="E335" s="11">
        <f>SUM(E333:E334)</f>
        <v/>
      </c>
      <c r="F335" s="12" t="n"/>
      <c r="G335" s="11">
        <f>IF(F335="","",E335-F335)</f>
        <v/>
      </c>
      <c r="H335" s="9" t="n"/>
      <c r="I335" s="10" t="n"/>
    </row>
    <row r="336">
      <c r="A336" s="13" t="inlineStr">
        <is>
          <t>AV1</t>
        </is>
      </c>
      <c r="B336" s="13" t="inlineStr">
        <is>
          <t>Avisos: fator R (2026)</t>
        </is>
      </c>
      <c r="C336" s="14" t="inlineStr">
        <is>
          <t>Serviços com fator R; receita R$ 600.000; folha CLT R$ 96.000; pró-labore R$ 60.000</t>
        </is>
      </c>
      <c r="D336" s="13" t="inlineStr">
        <is>
          <t>DAS no Anexo V (fator R abaixo de 28%)</t>
        </is>
      </c>
      <c r="E336" s="15" t="n">
        <v>107100</v>
      </c>
      <c r="F336" s="8" t="n"/>
      <c r="G336" s="15">
        <f>IF(F336="","",E336-F336)</f>
        <v/>
      </c>
      <c r="H336" s="13" t="n"/>
      <c r="I336" s="14" t="n"/>
    </row>
    <row r="337">
      <c r="A337" s="13" t="inlineStr">
        <is>
          <t>AV1</t>
        </is>
      </c>
      <c r="B337" s="13" t="inlineStr">
        <is>
          <t>Avisos: fator R (2026)</t>
        </is>
      </c>
      <c r="C337" s="14" t="inlineStr">
        <is>
          <t>Serviços com fator R; receita R$ 600.000; folha CLT R$ 96.000; pró-labore R$ 60.000</t>
        </is>
      </c>
      <c r="D337" s="13" t="inlineStr">
        <is>
          <t>DAS no Anexo III (fator R de 28%)</t>
        </is>
      </c>
      <c r="E337" s="15" t="n">
        <v>63360</v>
      </c>
      <c r="F337" s="8" t="n"/>
      <c r="G337" s="15">
        <f>IF(F337="","",E337-F337)</f>
        <v/>
      </c>
      <c r="H337" s="13" t="n"/>
      <c r="I337" s="14" t="n"/>
    </row>
    <row r="338">
      <c r="A338" s="13" t="inlineStr">
        <is>
          <t>AV1</t>
        </is>
      </c>
      <c r="B338" s="13" t="inlineStr">
        <is>
          <t>Avisos: fator R (2026)</t>
        </is>
      </c>
      <c r="C338" s="14" t="inlineStr">
        <is>
          <t>Serviços com fator R; receita R$ 600.000; folha CLT R$ 96.000; pró-labore R$ 60.000</t>
        </is>
      </c>
      <c r="D338" s="13" t="inlineStr">
        <is>
          <t>INSS do sócio sobre o pró-labore adicional</t>
        </is>
      </c>
      <c r="E338" s="15" t="n">
        <v>475.2</v>
      </c>
      <c r="F338" s="8" t="n"/>
      <c r="G338" s="15">
        <f>IF(F338="","",E338-F338)</f>
        <v/>
      </c>
      <c r="H338" s="13" t="n"/>
      <c r="I338" s="14" t="n"/>
    </row>
    <row r="339">
      <c r="A339" s="13" t="inlineStr">
        <is>
          <t>AV1</t>
        </is>
      </c>
      <c r="B339" s="13" t="inlineStr">
        <is>
          <t>Avisos: fator R (2026)</t>
        </is>
      </c>
      <c r="C339" s="14" t="inlineStr">
        <is>
          <t>Serviços com fator R; receita R$ 600.000; folha CLT R$ 96.000; pró-labore R$ 60.000</t>
        </is>
      </c>
      <c r="D339" s="13" t="inlineStr">
        <is>
          <t>Ganho líquido anual</t>
        </is>
      </c>
      <c r="E339" s="15" t="n">
        <v>43264.8</v>
      </c>
      <c r="F339" s="8" t="n"/>
      <c r="G339" s="15">
        <f>IF(F339="","",E339-F339)</f>
        <v/>
      </c>
      <c r="H339" s="13" t="n"/>
      <c r="I339" s="14" t="n"/>
    </row>
    <row r="340">
      <c r="A340" s="5" t="inlineStr">
        <is>
          <t>AV2</t>
        </is>
      </c>
      <c r="B340" s="5" t="inlineStr">
        <is>
          <t>Avisos: fator R (2026)</t>
        </is>
      </c>
      <c r="C340" s="6" t="inlineStr">
        <is>
          <t>Serviços com fator R; receita R$ 600.000; folha CLT R$ 96.000; pró-labore R$ 72.000</t>
        </is>
      </c>
      <c r="D340" s="5" t="inlineStr">
        <is>
          <t>DAS no Anexo V (fator R abaixo de 28%)</t>
        </is>
      </c>
      <c r="E340" s="7" t="n">
        <v>107100</v>
      </c>
      <c r="F340" s="8" t="n"/>
      <c r="G340" s="7">
        <f>IF(F340="","",E340-F340)</f>
        <v/>
      </c>
      <c r="H340" s="5" t="n"/>
      <c r="I340" s="6" t="n"/>
    </row>
    <row r="341">
      <c r="A341" s="5" t="inlineStr">
        <is>
          <t>AV2</t>
        </is>
      </c>
      <c r="B341" s="5" t="inlineStr">
        <is>
          <t>Avisos: fator R (2026)</t>
        </is>
      </c>
      <c r="C341" s="6" t="inlineStr">
        <is>
          <t>Serviços com fator R; receita R$ 600.000; folha CLT R$ 96.000; pró-labore R$ 72.000</t>
        </is>
      </c>
      <c r="D341" s="5" t="inlineStr">
        <is>
          <t>DAS no Anexo III (fator R de 28%)</t>
        </is>
      </c>
      <c r="E341" s="7" t="n">
        <v>63360</v>
      </c>
      <c r="F341" s="8" t="n"/>
      <c r="G341" s="7">
        <f>IF(F341="","",E341-F341)</f>
        <v/>
      </c>
      <c r="H341" s="5" t="n"/>
      <c r="I341" s="6" t="n"/>
    </row>
    <row r="342">
      <c r="A342" s="5" t="inlineStr">
        <is>
          <t>AV2</t>
        </is>
      </c>
      <c r="B342" s="5" t="inlineStr">
        <is>
          <t>Avisos: fator R (2026)</t>
        </is>
      </c>
      <c r="C342" s="6" t="inlineStr">
        <is>
          <t>Serviços com fator R; receita R$ 600.000; folha CLT R$ 96.000; pró-labore R$ 72.000</t>
        </is>
      </c>
      <c r="D342" s="5" t="inlineStr">
        <is>
          <t>Impacto anual se cair para o Anexo V</t>
        </is>
      </c>
      <c r="E342" s="7" t="n">
        <v>43740</v>
      </c>
      <c r="F342" s="8" t="n"/>
      <c r="G342" s="7">
        <f>IF(F342="","",E342-F342)</f>
        <v/>
      </c>
      <c r="H342" s="5" t="n"/>
      <c r="I342" s="6" t="n"/>
    </row>
  </sheetData>
  <autoFilter ref="A1:I34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708"/>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ENQ1</t>
        </is>
      </c>
      <c r="B383" s="6" t="inlineStr">
        <is>
          <t>atual: Fator R (folha 12 meses / RBT12)</t>
        </is>
      </c>
      <c r="C383" s="6" t="inlineStr">
        <is>
          <t>R$ 36.000,00 (salários + pró-labore + FGTS 8%) / R$ 600.000,00 = 6,00% -&gt; Anexo V</t>
        </is>
      </c>
      <c r="D383" s="7" t="n">
        <v>0.06</v>
      </c>
      <c r="E383" s="6" t="inlineStr">
        <is>
          <t>LC 123/2006, art. 18, §5º-J, §5º-M e §24</t>
        </is>
      </c>
    </row>
    <row r="384">
      <c r="A384" s="5" t="inlineStr">
        <is>
          <t>ENQ1</t>
        </is>
      </c>
      <c r="B384" s="6" t="inlineStr">
        <is>
          <t>atual: Alíquota efetiva - Anexo V, 3ª faixa</t>
        </is>
      </c>
      <c r="C384" s="6" t="inlineStr">
        <is>
          <t>(R$ 600.000,00 x 19,50% - R$ 9.900,00) / R$ 600.000,00 = 17,8500%</t>
        </is>
      </c>
      <c r="D384" s="7" t="n">
        <v>0.1785</v>
      </c>
      <c r="E384" s="6" t="inlineStr">
        <is>
          <t>LC 123/2006, art. 18, §1º e §1º-A</t>
        </is>
      </c>
    </row>
    <row r="385">
      <c r="A385" s="5" t="inlineStr">
        <is>
          <t>ENQ1</t>
        </is>
      </c>
      <c r="B385" s="6" t="inlineStr">
        <is>
          <t>atual: DAS anual</t>
        </is>
      </c>
      <c r="C385" s="6" t="inlineStr">
        <is>
          <t>R$ 600.000,00 x 17,8500%</t>
        </is>
      </c>
      <c r="D385" s="7" t="n">
        <v>107100</v>
      </c>
      <c r="E385" s="6" t="inlineStr">
        <is>
          <t>LC 123/2006, art. 13</t>
        </is>
      </c>
    </row>
    <row r="386">
      <c r="A386" s="5" t="inlineStr">
        <is>
          <t>ENQ1</t>
        </is>
      </c>
      <c r="B386" s="6" t="inlineStr">
        <is>
          <t>fator_r: Fator R (folha 12 meses / RBT12)</t>
        </is>
      </c>
      <c r="C386" s="6" t="inlineStr">
        <is>
          <t>R$ 168.000,00 (salários + pró-labore + FGTS 8%) / R$ 600.000,00 = 28,00% -&gt; Anexo III</t>
        </is>
      </c>
      <c r="D386" s="7" t="n">
        <v>0.28</v>
      </c>
      <c r="E386" s="6" t="inlineStr">
        <is>
          <t>LC 123/2006, art. 18, §5º-J, §5º-M e §24</t>
        </is>
      </c>
    </row>
    <row r="387">
      <c r="A387" s="5" t="inlineStr">
        <is>
          <t>ENQ1</t>
        </is>
      </c>
      <c r="B387" s="6" t="inlineStr">
        <is>
          <t>fator_r: Alíquota efetiva - Anexo III, 3ª faixa</t>
        </is>
      </c>
      <c r="C387" s="6" t="inlineStr">
        <is>
          <t>(R$ 600.000,00 x 13,50% - R$ 17.640,00) / R$ 600.000,00 = 10,5600%</t>
        </is>
      </c>
      <c r="D387" s="7" t="n">
        <v>0.1056</v>
      </c>
      <c r="E387" s="6" t="inlineStr">
        <is>
          <t>LC 123/2006, art. 18, §1º e §1º-A</t>
        </is>
      </c>
    </row>
    <row r="388">
      <c r="A388" s="5" t="inlineStr">
        <is>
          <t>ENQ1</t>
        </is>
      </c>
      <c r="B388" s="6" t="inlineStr">
        <is>
          <t>fator_r: DAS anual</t>
        </is>
      </c>
      <c r="C388" s="6" t="inlineStr">
        <is>
          <t>R$ 600.000,00 x 10,5600%</t>
        </is>
      </c>
      <c r="D388" s="7" t="n">
        <v>63360</v>
      </c>
      <c r="E388" s="6" t="inlineStr">
        <is>
          <t>LC 123/2006, art. 13</t>
        </is>
      </c>
    </row>
    <row r="389">
      <c r="A389" s="5" t="inlineStr">
        <is>
          <t>ENQ1</t>
        </is>
      </c>
      <c r="B389" s="6" t="inlineStr">
        <is>
          <t>anexo_iii_25: Fator R (folha 12 meses / RBT12)</t>
        </is>
      </c>
      <c r="C389" s="6" t="inlineStr">
        <is>
          <t>R$ 36.000,00 (salários + pró-labore + FGTS 8%) / R$ 600.000,00 = 6,00% -&gt; Anexo V</t>
        </is>
      </c>
      <c r="D389" s="7" t="n">
        <v>0.06</v>
      </c>
      <c r="E389" s="6" t="inlineStr">
        <is>
          <t>LC 123/2006, art. 18, §5º-J, §5º-M e §24</t>
        </is>
      </c>
    </row>
    <row r="390">
      <c r="A390" s="5" t="inlineStr">
        <is>
          <t>ENQ1</t>
        </is>
      </c>
      <c r="B390" s="6" t="inlineStr">
        <is>
          <t>anexo_iii_25: Alíquota efetiva - Anexo V, 3ª faixa</t>
        </is>
      </c>
      <c r="C390" s="6" t="inlineStr">
        <is>
          <t>(R$ 600.000,00 x 19,50% - R$ 9.900,00) / R$ 600.000,00 = 17,8500%</t>
        </is>
      </c>
      <c r="D390" s="7" t="n">
        <v>0.1785</v>
      </c>
      <c r="E390" s="6" t="inlineStr">
        <is>
          <t>LC 123/2006, art. 18, §1º e §1º-A</t>
        </is>
      </c>
    </row>
    <row r="391">
      <c r="A391" s="5" t="inlineStr">
        <is>
          <t>ENQ1</t>
        </is>
      </c>
      <c r="B391" s="6" t="inlineStr">
        <is>
          <t>anexo_iii_25: DAS (Anexo V, R$ 450.000,00)</t>
        </is>
      </c>
      <c r="C391" s="6" t="inlineStr">
        <is>
          <t>R$ 450.000,00 x 17,8500%</t>
        </is>
      </c>
      <c r="D391" s="7" t="n">
        <v>80325</v>
      </c>
      <c r="E391" s="6" t="inlineStr">
        <is>
          <t>LC 123/2006, art. 13</t>
        </is>
      </c>
    </row>
    <row r="392">
      <c r="A392" s="5" t="inlineStr">
        <is>
          <t>ENQ1</t>
        </is>
      </c>
      <c r="B392" s="6" t="inlineStr">
        <is>
          <t>anexo_iii_25: Alíquota efetiva - Anexo III, 3ª faixa</t>
        </is>
      </c>
      <c r="C392" s="6" t="inlineStr">
        <is>
          <t>(R$ 600.000,00 x 13,50% - R$ 17.640,00) / R$ 600.000,00 = 10,5600%</t>
        </is>
      </c>
      <c r="D392" s="7" t="n">
        <v>0.1056</v>
      </c>
      <c r="E392" s="6" t="inlineStr">
        <is>
          <t>LC 123/2006, art. 18, §1º e §1º-A</t>
        </is>
      </c>
    </row>
    <row r="393">
      <c r="A393" s="5" t="inlineStr">
        <is>
          <t>ENQ1</t>
        </is>
      </c>
      <c r="B393" s="6" t="inlineStr">
        <is>
          <t>anexo_iii_25: DAS (Anexo III, R$ 150.000,00)</t>
        </is>
      </c>
      <c r="C393" s="6" t="inlineStr">
        <is>
          <t>R$ 150.000,00 x 10,5600%</t>
        </is>
      </c>
      <c r="D393" s="7" t="n">
        <v>15840</v>
      </c>
      <c r="E393" s="6" t="inlineStr">
        <is>
          <t>LC 123/2006, art. 13</t>
        </is>
      </c>
    </row>
    <row r="394">
      <c r="A394" s="5" t="inlineStr">
        <is>
          <t>ENQ1</t>
        </is>
      </c>
      <c r="B394" s="6" t="inlineStr">
        <is>
          <t>anexo_iii_25: DAS anual</t>
        </is>
      </c>
      <c r="C394" s="6" t="inlineStr">
        <is>
          <t>R$ 80.325,00 + R$ 15.840,00</t>
        </is>
      </c>
      <c r="D394" s="7" t="n">
        <v>96165</v>
      </c>
      <c r="E394" s="6" t="inlineStr">
        <is>
          <t>LC 123/2006, art. 13 e art. 18, §§ 1º e 4º</t>
        </is>
      </c>
    </row>
    <row r="395">
      <c r="A395" s="5" t="inlineStr">
        <is>
          <t>ENQ1</t>
        </is>
      </c>
      <c r="B395" s="6" t="inlineStr">
        <is>
          <t>anexo_iii_30: Fator R (folha 12 meses / RBT12)</t>
        </is>
      </c>
      <c r="C395" s="6" t="inlineStr">
        <is>
          <t>R$ 36.000,00 (salários + pró-labore + FGTS 8%) / R$ 600.000,00 = 6,00% -&gt; Anexo V</t>
        </is>
      </c>
      <c r="D395" s="7" t="n">
        <v>0.06</v>
      </c>
      <c r="E395" s="6" t="inlineStr">
        <is>
          <t>LC 123/2006, art. 18, §5º-J, §5º-M e §24</t>
        </is>
      </c>
    </row>
    <row r="396">
      <c r="A396" s="5" t="inlineStr">
        <is>
          <t>ENQ1</t>
        </is>
      </c>
      <c r="B396" s="6" t="inlineStr">
        <is>
          <t>anexo_iii_30: Alíquota efetiva - Anexo V, 3ª faixa</t>
        </is>
      </c>
      <c r="C396" s="6" t="inlineStr">
        <is>
          <t>(R$ 600.000,00 x 19,50% - R$ 9.900,00) / R$ 600.000,00 = 17,8500%</t>
        </is>
      </c>
      <c r="D396" s="7" t="n">
        <v>0.1785</v>
      </c>
      <c r="E396" s="6" t="inlineStr">
        <is>
          <t>LC 123/2006, art. 18, §1º e §1º-A</t>
        </is>
      </c>
    </row>
    <row r="397">
      <c r="A397" s="5" t="inlineStr">
        <is>
          <t>ENQ1</t>
        </is>
      </c>
      <c r="B397" s="6" t="inlineStr">
        <is>
          <t>anexo_iii_30: DAS (Anexo V, R$ 420.000,00)</t>
        </is>
      </c>
      <c r="C397" s="6" t="inlineStr">
        <is>
          <t>R$ 420.000,00 x 17,8500%</t>
        </is>
      </c>
      <c r="D397" s="7" t="n">
        <v>74970</v>
      </c>
      <c r="E397" s="6" t="inlineStr">
        <is>
          <t>LC 123/2006, art. 13</t>
        </is>
      </c>
    </row>
    <row r="398">
      <c r="A398" s="5" t="inlineStr">
        <is>
          <t>ENQ1</t>
        </is>
      </c>
      <c r="B398" s="6" t="inlineStr">
        <is>
          <t>anexo_iii_30: Alíquota efetiva - Anexo III, 3ª faixa</t>
        </is>
      </c>
      <c r="C398" s="6" t="inlineStr">
        <is>
          <t>(R$ 600.000,00 x 13,50% - R$ 17.640,00) / R$ 600.000,00 = 10,5600%</t>
        </is>
      </c>
      <c r="D398" s="7" t="n">
        <v>0.1056</v>
      </c>
      <c r="E398" s="6" t="inlineStr">
        <is>
          <t>LC 123/2006, art. 18, §1º e §1º-A</t>
        </is>
      </c>
    </row>
    <row r="399">
      <c r="A399" s="5" t="inlineStr">
        <is>
          <t>ENQ1</t>
        </is>
      </c>
      <c r="B399" s="6" t="inlineStr">
        <is>
          <t>anexo_iii_30: DAS (Anexo III, R$ 180.000,00)</t>
        </is>
      </c>
      <c r="C399" s="6" t="inlineStr">
        <is>
          <t>R$ 180.000,00 x 10,5600%</t>
        </is>
      </c>
      <c r="D399" s="7" t="n">
        <v>19008</v>
      </c>
      <c r="E399" s="6" t="inlineStr">
        <is>
          <t>LC 123/2006, art. 13</t>
        </is>
      </c>
    </row>
    <row r="400">
      <c r="A400" s="5" t="inlineStr">
        <is>
          <t>ENQ1</t>
        </is>
      </c>
      <c r="B400" s="6" t="inlineStr">
        <is>
          <t>anexo_iii_30: DAS anual</t>
        </is>
      </c>
      <c r="C400" s="6" t="inlineStr">
        <is>
          <t>R$ 74.970,00 + R$ 19.008,00</t>
        </is>
      </c>
      <c r="D400" s="7" t="n">
        <v>93978</v>
      </c>
      <c r="E400" s="6" t="inlineStr">
        <is>
          <t>LC 123/2006, art. 13 e art. 18, §§ 1º e 4º</t>
        </is>
      </c>
    </row>
    <row r="401">
      <c r="A401" s="5" t="inlineStr">
        <is>
          <t>ENQ1</t>
        </is>
      </c>
      <c r="B401" s="6" t="inlineStr">
        <is>
          <t>anexo_iii_50: Fator R (folha 12 meses / RBT12)</t>
        </is>
      </c>
      <c r="C401" s="6" t="inlineStr">
        <is>
          <t>R$ 36.000,00 (salários + pró-labore + FGTS 8%) / R$ 600.000,00 = 6,00% -&gt; Anexo V</t>
        </is>
      </c>
      <c r="D401" s="7" t="n">
        <v>0.06</v>
      </c>
      <c r="E401" s="6" t="inlineStr">
        <is>
          <t>LC 123/2006, art. 18, §5º-J, §5º-M e §24</t>
        </is>
      </c>
    </row>
    <row r="402">
      <c r="A402" s="5" t="inlineStr">
        <is>
          <t>ENQ1</t>
        </is>
      </c>
      <c r="B402" s="6" t="inlineStr">
        <is>
          <t>anexo_iii_50: Alíquota efetiva - Anexo V, 3ª faixa</t>
        </is>
      </c>
      <c r="C402" s="6" t="inlineStr">
        <is>
          <t>(R$ 600.000,00 x 19,50% - R$ 9.900,00) / R$ 600.000,00 = 17,8500%</t>
        </is>
      </c>
      <c r="D402" s="7" t="n">
        <v>0.1785</v>
      </c>
      <c r="E402" s="6" t="inlineStr">
        <is>
          <t>LC 123/2006, art. 18, §1º e §1º-A</t>
        </is>
      </c>
    </row>
    <row r="403">
      <c r="A403" s="5" t="inlineStr">
        <is>
          <t>ENQ1</t>
        </is>
      </c>
      <c r="B403" s="6" t="inlineStr">
        <is>
          <t>anexo_iii_50: DAS (Anexo V, R$ 300.000,00)</t>
        </is>
      </c>
      <c r="C403" s="6" t="inlineStr">
        <is>
          <t>R$ 300.000,00 x 17,8500%</t>
        </is>
      </c>
      <c r="D403" s="7" t="n">
        <v>53550</v>
      </c>
      <c r="E403" s="6" t="inlineStr">
        <is>
          <t>LC 123/2006, art. 13</t>
        </is>
      </c>
    </row>
    <row r="404">
      <c r="A404" s="5" t="inlineStr">
        <is>
          <t>ENQ1</t>
        </is>
      </c>
      <c r="B404" s="6" t="inlineStr">
        <is>
          <t>anexo_iii_50: Alíquota efetiva - Anexo III, 3ª faixa</t>
        </is>
      </c>
      <c r="C404" s="6" t="inlineStr">
        <is>
          <t>(R$ 600.000,00 x 13,50% - R$ 17.640,00) / R$ 600.000,00 = 10,5600%</t>
        </is>
      </c>
      <c r="D404" s="7" t="n">
        <v>0.1056</v>
      </c>
      <c r="E404" s="6" t="inlineStr">
        <is>
          <t>LC 123/2006, art. 18, §1º e §1º-A</t>
        </is>
      </c>
    </row>
    <row r="405">
      <c r="A405" s="5" t="inlineStr">
        <is>
          <t>ENQ1</t>
        </is>
      </c>
      <c r="B405" s="6" t="inlineStr">
        <is>
          <t>anexo_iii_50: DAS (Anexo III, R$ 300.000,00)</t>
        </is>
      </c>
      <c r="C405" s="6" t="inlineStr">
        <is>
          <t>R$ 300.000,00 x 10,5600%</t>
        </is>
      </c>
      <c r="D405" s="7" t="n">
        <v>31680</v>
      </c>
      <c r="E405" s="6" t="inlineStr">
        <is>
          <t>LC 123/2006, art. 13</t>
        </is>
      </c>
    </row>
    <row r="406">
      <c r="A406" s="5" t="inlineStr">
        <is>
          <t>ENQ1</t>
        </is>
      </c>
      <c r="B406" s="6" t="inlineStr">
        <is>
          <t>anexo_iii_50: DAS anual</t>
        </is>
      </c>
      <c r="C406" s="6" t="inlineStr">
        <is>
          <t>R$ 53.550,00 + R$ 31.680,00</t>
        </is>
      </c>
      <c r="D406" s="7" t="n">
        <v>85230</v>
      </c>
      <c r="E406" s="6" t="inlineStr">
        <is>
          <t>LC 123/2006, art. 13 e art. 18, §§ 1º e 4º</t>
        </is>
      </c>
    </row>
    <row r="407">
      <c r="A407" s="5" t="inlineStr">
        <is>
          <t>ENQ1</t>
        </is>
      </c>
      <c r="B407" s="6" t="inlineStr">
        <is>
          <t>anexo_iii_100: Fator R (folha 12 meses / RBT12)</t>
        </is>
      </c>
      <c r="C407" s="6" t="inlineStr">
        <is>
          <t>R$ 36.000,00 (salários + pró-labore + FGTS 8%) / R$ 600.000,00 = 6,00% -&gt; Anexo V</t>
        </is>
      </c>
      <c r="D407" s="7" t="n">
        <v>0.06</v>
      </c>
      <c r="E407" s="6" t="inlineStr">
        <is>
          <t>LC 123/2006, art. 18, §5º-J, §5º-M e §24</t>
        </is>
      </c>
    </row>
    <row r="408">
      <c r="A408" s="5" t="inlineStr">
        <is>
          <t>ENQ1</t>
        </is>
      </c>
      <c r="B408" s="6" t="inlineStr">
        <is>
          <t>anexo_iii_100: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anexo_iii_100: DAS anual</t>
        </is>
      </c>
      <c r="C409" s="6" t="inlineStr">
        <is>
          <t>R$ 600.000,00 x 10,5600%</t>
        </is>
      </c>
      <c r="D409" s="7" t="n">
        <v>63360</v>
      </c>
      <c r="E409" s="6" t="inlineStr">
        <is>
          <t>LC 123/2006, art. 13</t>
        </is>
      </c>
    </row>
    <row r="410">
      <c r="A410" s="5" t="inlineStr">
        <is>
          <t>ENQ2</t>
        </is>
      </c>
      <c r="B410" s="6" t="inlineStr">
        <is>
          <t>atual: Fator R (folha 12 meses / RBT12)</t>
        </is>
      </c>
      <c r="C410" s="6" t="inlineStr">
        <is>
          <t>R$ 210.000,00 (salários + pró-labore + FGTS 8%) / R$ 1.200.000,00 = 17,50% -&gt; Anexo V</t>
        </is>
      </c>
      <c r="D410" s="7" t="n">
        <v>0.175</v>
      </c>
      <c r="E410" s="6" t="inlineStr">
        <is>
          <t>LC 123/2006, art. 18, §5º-J, §5º-M e §24</t>
        </is>
      </c>
    </row>
    <row r="411">
      <c r="A411" s="5" t="inlineStr">
        <is>
          <t>ENQ2</t>
        </is>
      </c>
      <c r="B411" s="6" t="inlineStr">
        <is>
          <t>atual: Alíquota efetiva - Anexo V, 4ª faixa</t>
        </is>
      </c>
      <c r="C411" s="6" t="inlineStr">
        <is>
          <t>(R$ 1.200.000,00 x 20,50% - R$ 17.100,00) / R$ 1.200.000,00 = 19,0750%</t>
        </is>
      </c>
      <c r="D411" s="7" t="n">
        <v>0.19075</v>
      </c>
      <c r="E411" s="6" t="inlineStr">
        <is>
          <t>LC 123/2006, art. 18, §1º e §1º-A</t>
        </is>
      </c>
    </row>
    <row r="412">
      <c r="A412" s="5" t="inlineStr">
        <is>
          <t>ENQ2</t>
        </is>
      </c>
      <c r="B412" s="6" t="inlineStr">
        <is>
          <t>atual: DAS anual</t>
        </is>
      </c>
      <c r="C412" s="6" t="inlineStr">
        <is>
          <t>R$ 1.200.000,00 x 19,0750%</t>
        </is>
      </c>
      <c r="D412" s="7" t="n">
        <v>228900</v>
      </c>
      <c r="E412" s="6" t="inlineStr">
        <is>
          <t>LC 123/2006, art. 13</t>
        </is>
      </c>
    </row>
    <row r="413">
      <c r="A413" s="5" t="inlineStr">
        <is>
          <t>ENQ2</t>
        </is>
      </c>
      <c r="B413" s="6" t="inlineStr">
        <is>
          <t>fator_r: Fator R (folha 12 meses / RBT12)</t>
        </is>
      </c>
      <c r="C413" s="6" t="inlineStr">
        <is>
          <t>R$ 336.000,00 (salários + pró-labore + FGTS 8%) / R$ 1.200.000,00 = 28,00% -&gt; Anexo III</t>
        </is>
      </c>
      <c r="D413" s="7" t="n">
        <v>0.28</v>
      </c>
      <c r="E413" s="6" t="inlineStr">
        <is>
          <t>LC 123/2006, art. 18, §5º-J, §5º-M e §24</t>
        </is>
      </c>
    </row>
    <row r="414">
      <c r="A414" s="5" t="inlineStr">
        <is>
          <t>ENQ2</t>
        </is>
      </c>
      <c r="B414" s="6" t="inlineStr">
        <is>
          <t>fator_r: Alíquota efetiva - Anexo III, 4ª faixa</t>
        </is>
      </c>
      <c r="C414" s="6" t="inlineStr">
        <is>
          <t>(R$ 1.200.000,00 x 16,00% - R$ 35.640,00) / R$ 1.200.000,00 = 13,0300%</t>
        </is>
      </c>
      <c r="D414" s="7" t="n">
        <v>0.1303</v>
      </c>
      <c r="E414" s="6" t="inlineStr">
        <is>
          <t>LC 123/2006, art. 18, §1º e §1º-A</t>
        </is>
      </c>
    </row>
    <row r="415">
      <c r="A415" s="5" t="inlineStr">
        <is>
          <t>ENQ2</t>
        </is>
      </c>
      <c r="B415" s="6" t="inlineStr">
        <is>
          <t>fator_r: DAS anual</t>
        </is>
      </c>
      <c r="C415" s="6" t="inlineStr">
        <is>
          <t>R$ 1.200.000,00 x 13,0300%</t>
        </is>
      </c>
      <c r="D415" s="7" t="n">
        <v>156360</v>
      </c>
      <c r="E415" s="6" t="inlineStr">
        <is>
          <t>LC 123/2006, art. 13</t>
        </is>
      </c>
    </row>
    <row r="416">
      <c r="A416" s="5" t="inlineStr">
        <is>
          <t>ENQ2</t>
        </is>
      </c>
      <c r="B416" s="6" t="inlineStr">
        <is>
          <t>anexo_iii_25: Fator R (folha 12 meses / RBT12)</t>
        </is>
      </c>
      <c r="C416" s="6" t="inlineStr">
        <is>
          <t>R$ 210.000,00 (salários + pró-labore + FGTS 8%) / R$ 1.200.000,00 = 17,50% -&gt; Anexo V</t>
        </is>
      </c>
      <c r="D416" s="7" t="n">
        <v>0.175</v>
      </c>
      <c r="E416" s="6" t="inlineStr">
        <is>
          <t>LC 123/2006, art. 18, §5º-J, §5º-M e §24</t>
        </is>
      </c>
    </row>
    <row r="417">
      <c r="A417" s="5" t="inlineStr">
        <is>
          <t>ENQ2</t>
        </is>
      </c>
      <c r="B417" s="6" t="inlineStr">
        <is>
          <t>anexo_iii_25: Alíquota efetiva - Anexo V, 4ª faixa</t>
        </is>
      </c>
      <c r="C417" s="6" t="inlineStr">
        <is>
          <t>(R$ 1.200.000,00 x 20,50% - R$ 17.100,00) / R$ 1.200.000,00 = 19,0750%</t>
        </is>
      </c>
      <c r="D417" s="7" t="n">
        <v>0.19075</v>
      </c>
      <c r="E417" s="6" t="inlineStr">
        <is>
          <t>LC 123/2006, art. 18, §1º e §1º-A</t>
        </is>
      </c>
    </row>
    <row r="418">
      <c r="A418" s="5" t="inlineStr">
        <is>
          <t>ENQ2</t>
        </is>
      </c>
      <c r="B418" s="6" t="inlineStr">
        <is>
          <t>anexo_iii_25: DAS (Anexo V, R$ 900.000,00)</t>
        </is>
      </c>
      <c r="C418" s="6" t="inlineStr">
        <is>
          <t>R$ 900.000,00 x 19,0750%</t>
        </is>
      </c>
      <c r="D418" s="7" t="n">
        <v>171675</v>
      </c>
      <c r="E418" s="6" t="inlineStr">
        <is>
          <t>LC 123/2006, art. 13</t>
        </is>
      </c>
    </row>
    <row r="419">
      <c r="A419" s="5" t="inlineStr">
        <is>
          <t>ENQ2</t>
        </is>
      </c>
      <c r="B419" s="6" t="inlineStr">
        <is>
          <t>anexo_iii_25: Alíquota efetiva - Anexo III, 4ª faixa</t>
        </is>
      </c>
      <c r="C419" s="6" t="inlineStr">
        <is>
          <t>(R$ 1.200.000,00 x 16,00% - R$ 35.640,00) / R$ 1.200.000,00 = 13,0300%</t>
        </is>
      </c>
      <c r="D419" s="7" t="n">
        <v>0.1303</v>
      </c>
      <c r="E419" s="6" t="inlineStr">
        <is>
          <t>LC 123/2006, art. 18, §1º e §1º-A</t>
        </is>
      </c>
    </row>
    <row r="420">
      <c r="A420" s="5" t="inlineStr">
        <is>
          <t>ENQ2</t>
        </is>
      </c>
      <c r="B420" s="6" t="inlineStr">
        <is>
          <t>anexo_iii_25: DAS (Anexo III, R$ 300.000,00)</t>
        </is>
      </c>
      <c r="C420" s="6" t="inlineStr">
        <is>
          <t>R$ 300.000,00 x 13,0300%</t>
        </is>
      </c>
      <c r="D420" s="7" t="n">
        <v>39090</v>
      </c>
      <c r="E420" s="6" t="inlineStr">
        <is>
          <t>LC 123/2006, art. 13</t>
        </is>
      </c>
    </row>
    <row r="421">
      <c r="A421" s="5" t="inlineStr">
        <is>
          <t>ENQ2</t>
        </is>
      </c>
      <c r="B421" s="6" t="inlineStr">
        <is>
          <t>anexo_iii_25: DAS anual</t>
        </is>
      </c>
      <c r="C421" s="6" t="inlineStr">
        <is>
          <t>R$ 171.675,00 + R$ 39.090,00</t>
        </is>
      </c>
      <c r="D421" s="7" t="n">
        <v>210765</v>
      </c>
      <c r="E421" s="6" t="inlineStr">
        <is>
          <t>LC 123/2006, art. 13 e art. 18, §§ 1º e 4º</t>
        </is>
      </c>
    </row>
    <row r="422">
      <c r="A422" s="5" t="inlineStr">
        <is>
          <t>ENQ2</t>
        </is>
      </c>
      <c r="B422" s="6" t="inlineStr">
        <is>
          <t>anexo_iii_50: Fator R (folha 12 meses / RBT12)</t>
        </is>
      </c>
      <c r="C422" s="6" t="inlineStr">
        <is>
          <t>R$ 210.000,00 (salários + pró-labore + FGTS 8%) / R$ 1.200.000,00 = 17,50% -&gt; Anexo V</t>
        </is>
      </c>
      <c r="D422" s="7" t="n">
        <v>0.175</v>
      </c>
      <c r="E422" s="6" t="inlineStr">
        <is>
          <t>LC 123/2006, art. 18, §5º-J, §5º-M e §24</t>
        </is>
      </c>
    </row>
    <row r="423">
      <c r="A423" s="5" t="inlineStr">
        <is>
          <t>ENQ2</t>
        </is>
      </c>
      <c r="B423" s="6" t="inlineStr">
        <is>
          <t>anexo_iii_50: Alíquota efetiva - Anexo V, 4ª faixa</t>
        </is>
      </c>
      <c r="C423" s="6" t="inlineStr">
        <is>
          <t>(R$ 1.200.000,00 x 20,50% - R$ 17.100,00) / R$ 1.200.000,00 = 19,0750%</t>
        </is>
      </c>
      <c r="D423" s="7" t="n">
        <v>0.19075</v>
      </c>
      <c r="E423" s="6" t="inlineStr">
        <is>
          <t>LC 123/2006, art. 18, §1º e §1º-A</t>
        </is>
      </c>
    </row>
    <row r="424">
      <c r="A424" s="5" t="inlineStr">
        <is>
          <t>ENQ2</t>
        </is>
      </c>
      <c r="B424" s="6" t="inlineStr">
        <is>
          <t>anexo_iii_50: DAS (Anexo V, R$ 600.000,00)</t>
        </is>
      </c>
      <c r="C424" s="6" t="inlineStr">
        <is>
          <t>R$ 600.000,00 x 19,0750%</t>
        </is>
      </c>
      <c r="D424" s="7" t="n">
        <v>114450</v>
      </c>
      <c r="E424" s="6" t="inlineStr">
        <is>
          <t>LC 123/2006, art. 13</t>
        </is>
      </c>
    </row>
    <row r="425">
      <c r="A425" s="5" t="inlineStr">
        <is>
          <t>ENQ2</t>
        </is>
      </c>
      <c r="B425" s="6" t="inlineStr">
        <is>
          <t>anexo_iii_50: Alíquota efetiva - Anexo III, 4ª faixa</t>
        </is>
      </c>
      <c r="C425" s="6" t="inlineStr">
        <is>
          <t>(R$ 1.200.000,00 x 16,00% - R$ 35.640,00) / R$ 1.200.000,00 = 13,0300%</t>
        </is>
      </c>
      <c r="D425" s="7" t="n">
        <v>0.1303</v>
      </c>
      <c r="E425" s="6" t="inlineStr">
        <is>
          <t>LC 123/2006, art. 18, §1º e §1º-A</t>
        </is>
      </c>
    </row>
    <row r="426">
      <c r="A426" s="5" t="inlineStr">
        <is>
          <t>ENQ2</t>
        </is>
      </c>
      <c r="B426" s="6" t="inlineStr">
        <is>
          <t>anexo_iii_50: DAS (Anexo III, R$ 600.000,00)</t>
        </is>
      </c>
      <c r="C426" s="6" t="inlineStr">
        <is>
          <t>R$ 600.000,00 x 13,0300%</t>
        </is>
      </c>
      <c r="D426" s="7" t="n">
        <v>78180</v>
      </c>
      <c r="E426" s="6" t="inlineStr">
        <is>
          <t>LC 123/2006, art. 13</t>
        </is>
      </c>
    </row>
    <row r="427">
      <c r="A427" s="5" t="inlineStr">
        <is>
          <t>ENQ2</t>
        </is>
      </c>
      <c r="B427" s="6" t="inlineStr">
        <is>
          <t>anexo_iii_50: DAS anual</t>
        </is>
      </c>
      <c r="C427" s="6" t="inlineStr">
        <is>
          <t>R$ 114.450,00 + R$ 78.180,00</t>
        </is>
      </c>
      <c r="D427" s="7" t="n">
        <v>192630</v>
      </c>
      <c r="E427" s="6" t="inlineStr">
        <is>
          <t>LC 123/2006, art. 13 e art. 18, §§ 1º e 4º</t>
        </is>
      </c>
    </row>
    <row r="428">
      <c r="A428" s="5" t="inlineStr">
        <is>
          <t>ENQ2</t>
        </is>
      </c>
      <c r="B428" s="6" t="inlineStr">
        <is>
          <t>anexo_iii_100: Fator R (folha 12 meses / RBT12)</t>
        </is>
      </c>
      <c r="C428" s="6" t="inlineStr">
        <is>
          <t>R$ 210.000,00 (salários + pró-labore + FGTS 8%) / R$ 1.200.000,00 = 17,50% -&gt; Anexo V</t>
        </is>
      </c>
      <c r="D428" s="7" t="n">
        <v>0.175</v>
      </c>
      <c r="E428" s="6" t="inlineStr">
        <is>
          <t>LC 123/2006, art. 18, §5º-J, §5º-M e §24</t>
        </is>
      </c>
    </row>
    <row r="429">
      <c r="A429" s="5" t="inlineStr">
        <is>
          <t>ENQ2</t>
        </is>
      </c>
      <c r="B429" s="6" t="inlineStr">
        <is>
          <t>anexo_iii_100: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anexo_iii_100: DAS anual</t>
        </is>
      </c>
      <c r="C430" s="6" t="inlineStr">
        <is>
          <t>R$ 1.200.000,00 x 13,0300%</t>
        </is>
      </c>
      <c r="D430" s="7" t="n">
        <v>156360</v>
      </c>
      <c r="E430" s="6" t="inlineStr">
        <is>
          <t>LC 123/2006, art. 13</t>
        </is>
      </c>
    </row>
    <row r="431">
      <c r="A431" s="5" t="inlineStr">
        <is>
          <t>ENQ3</t>
        </is>
      </c>
      <c r="B431" s="6" t="inlineStr">
        <is>
          <t>atual: Fator R (folha 12 meses / RBT12)</t>
        </is>
      </c>
      <c r="C431" s="6" t="inlineStr">
        <is>
          <t>R$ 24.000,00 (salários + pró-labore + FGTS 8%) / R$ 300.000,00 = 8,00% -&gt; Anexo V</t>
        </is>
      </c>
      <c r="D431" s="7" t="n">
        <v>0.08</v>
      </c>
      <c r="E431" s="6" t="inlineStr">
        <is>
          <t>LC 123/2006, art. 18, §5º-J, §5º-M e §24</t>
        </is>
      </c>
    </row>
    <row r="432">
      <c r="A432" s="5" t="inlineStr">
        <is>
          <t>ENQ3</t>
        </is>
      </c>
      <c r="B432" s="6" t="inlineStr">
        <is>
          <t>atual: Alíquota efetiva - Anexo V, 2ª faixa</t>
        </is>
      </c>
      <c r="C432" s="6" t="inlineStr">
        <is>
          <t>(R$ 300.000,00 x 18,00% - R$ 4.500,00) / R$ 300.000,00 = 16,5000%</t>
        </is>
      </c>
      <c r="D432" s="7" t="n">
        <v>0.165</v>
      </c>
      <c r="E432" s="6" t="inlineStr">
        <is>
          <t>LC 123/2006, art. 18, §1º e §1º-A</t>
        </is>
      </c>
    </row>
    <row r="433">
      <c r="A433" s="5" t="inlineStr">
        <is>
          <t>ENQ3</t>
        </is>
      </c>
      <c r="B433" s="6" t="inlineStr">
        <is>
          <t>atual: DAS anual</t>
        </is>
      </c>
      <c r="C433" s="6" t="inlineStr">
        <is>
          <t>R$ 300.000,00 x 16,5000%</t>
        </is>
      </c>
      <c r="D433" s="7" t="n">
        <v>49500</v>
      </c>
      <c r="E433" s="6" t="inlineStr">
        <is>
          <t>LC 123/2006, art. 13</t>
        </is>
      </c>
    </row>
    <row r="434">
      <c r="A434" s="5" t="inlineStr">
        <is>
          <t>ENQ3</t>
        </is>
      </c>
      <c r="B434" s="6" t="inlineStr">
        <is>
          <t>fator_r: Fator R (folha 12 meses / RBT12)</t>
        </is>
      </c>
      <c r="C434" s="6" t="inlineStr">
        <is>
          <t>R$ 84.000,00 (salários + pró-labore + FGTS 8%) / R$ 300.000,00 = 28,00% -&gt; Anexo III</t>
        </is>
      </c>
      <c r="D434" s="7" t="n">
        <v>0.28</v>
      </c>
      <c r="E434" s="6" t="inlineStr">
        <is>
          <t>LC 123/2006, art. 18, §5º-J, §5º-M e §24</t>
        </is>
      </c>
    </row>
    <row r="435">
      <c r="A435" s="5" t="inlineStr">
        <is>
          <t>ENQ3</t>
        </is>
      </c>
      <c r="B435" s="6" t="inlineStr">
        <is>
          <t>fator_r: Alíquota efetiva - Anexo III, 2ª faixa</t>
        </is>
      </c>
      <c r="C435" s="6" t="inlineStr">
        <is>
          <t>(R$ 300.000,00 x 11,20% - R$ 9.360,00) / R$ 300.000,00 = 8,0800%</t>
        </is>
      </c>
      <c r="D435" s="7" t="n">
        <v>0.0808</v>
      </c>
      <c r="E435" s="6" t="inlineStr">
        <is>
          <t>LC 123/2006, art. 18, §1º e §1º-A</t>
        </is>
      </c>
    </row>
    <row r="436">
      <c r="A436" s="5" t="inlineStr">
        <is>
          <t>ENQ3</t>
        </is>
      </c>
      <c r="B436" s="6" t="inlineStr">
        <is>
          <t>fator_r: DAS anual</t>
        </is>
      </c>
      <c r="C436" s="6" t="inlineStr">
        <is>
          <t>R$ 300.000,00 x 8,0800%</t>
        </is>
      </c>
      <c r="D436" s="7" t="n">
        <v>24240</v>
      </c>
      <c r="E436" s="6" t="inlineStr">
        <is>
          <t>LC 123/2006, art. 13</t>
        </is>
      </c>
    </row>
    <row r="437">
      <c r="A437" s="5" t="inlineStr">
        <is>
          <t>ENQ3</t>
        </is>
      </c>
      <c r="B437" s="6" t="inlineStr">
        <is>
          <t>anexo_iii_25: Fator R (folha 12 meses / RBT12)</t>
        </is>
      </c>
      <c r="C437" s="6" t="inlineStr">
        <is>
          <t>R$ 24.000,00 (salários + pró-labore + FGTS 8%) / R$ 300.000,00 = 8,00% -&gt; Anexo V</t>
        </is>
      </c>
      <c r="D437" s="7" t="n">
        <v>0.08</v>
      </c>
      <c r="E437" s="6" t="inlineStr">
        <is>
          <t>LC 123/2006, art. 18, §5º-J, §5º-M e §24</t>
        </is>
      </c>
    </row>
    <row r="438">
      <c r="A438" s="5" t="inlineStr">
        <is>
          <t>ENQ3</t>
        </is>
      </c>
      <c r="B438" s="6" t="inlineStr">
        <is>
          <t>anexo_iii_25: Alíquota efetiva - Anexo V, 2ª faixa</t>
        </is>
      </c>
      <c r="C438" s="6" t="inlineStr">
        <is>
          <t>(R$ 300.000,00 x 18,00% - R$ 4.500,00) / R$ 300.000,00 = 16,5000%</t>
        </is>
      </c>
      <c r="D438" s="7" t="n">
        <v>0.165</v>
      </c>
      <c r="E438" s="6" t="inlineStr">
        <is>
          <t>LC 123/2006, art. 18, §1º e §1º-A</t>
        </is>
      </c>
    </row>
    <row r="439">
      <c r="A439" s="5" t="inlineStr">
        <is>
          <t>ENQ3</t>
        </is>
      </c>
      <c r="B439" s="6" t="inlineStr">
        <is>
          <t>anexo_iii_25: DAS (Anexo V, R$ 225.000,00)</t>
        </is>
      </c>
      <c r="C439" s="6" t="inlineStr">
        <is>
          <t>R$ 225.000,00 x 16,5000%</t>
        </is>
      </c>
      <c r="D439" s="7" t="n">
        <v>37125</v>
      </c>
      <c r="E439" s="6" t="inlineStr">
        <is>
          <t>LC 123/2006, art. 13</t>
        </is>
      </c>
    </row>
    <row r="440">
      <c r="A440" s="5" t="inlineStr">
        <is>
          <t>ENQ3</t>
        </is>
      </c>
      <c r="B440" s="6" t="inlineStr">
        <is>
          <t>anexo_iii_25: Alíquota efetiva - Anexo III, 2ª faixa</t>
        </is>
      </c>
      <c r="C440" s="6" t="inlineStr">
        <is>
          <t>(R$ 300.000,00 x 11,20% - R$ 9.360,00) / R$ 300.000,00 = 8,0800%</t>
        </is>
      </c>
      <c r="D440" s="7" t="n">
        <v>0.0808</v>
      </c>
      <c r="E440" s="6" t="inlineStr">
        <is>
          <t>LC 123/2006, art. 18, §1º e §1º-A</t>
        </is>
      </c>
    </row>
    <row r="441">
      <c r="A441" s="5" t="inlineStr">
        <is>
          <t>ENQ3</t>
        </is>
      </c>
      <c r="B441" s="6" t="inlineStr">
        <is>
          <t>anexo_iii_25: DAS (Anexo III, R$ 75.000,00)</t>
        </is>
      </c>
      <c r="C441" s="6" t="inlineStr">
        <is>
          <t>R$ 75.000,00 x 8,0800%</t>
        </is>
      </c>
      <c r="D441" s="7" t="n">
        <v>6060</v>
      </c>
      <c r="E441" s="6" t="inlineStr">
        <is>
          <t>LC 123/2006, art. 13</t>
        </is>
      </c>
    </row>
    <row r="442">
      <c r="A442" s="5" t="inlineStr">
        <is>
          <t>ENQ3</t>
        </is>
      </c>
      <c r="B442" s="6" t="inlineStr">
        <is>
          <t>anexo_iii_25: DAS anual</t>
        </is>
      </c>
      <c r="C442" s="6" t="inlineStr">
        <is>
          <t>R$ 37.125,00 + R$ 6.060,00</t>
        </is>
      </c>
      <c r="D442" s="7" t="n">
        <v>43185</v>
      </c>
      <c r="E442" s="6" t="inlineStr">
        <is>
          <t>LC 123/2006, art. 13 e art. 18, §§ 1º e 4º</t>
        </is>
      </c>
    </row>
    <row r="443">
      <c r="A443" s="5" t="inlineStr">
        <is>
          <t>ENQ3</t>
        </is>
      </c>
      <c r="B443" s="6" t="inlineStr">
        <is>
          <t>anexo_iii_50: Fator R (folha 12 meses / RBT12)</t>
        </is>
      </c>
      <c r="C443" s="6" t="inlineStr">
        <is>
          <t>R$ 24.000,00 (salários + pró-labore + FGTS 8%) / R$ 300.000,00 = 8,00% -&gt; Anexo V</t>
        </is>
      </c>
      <c r="D443" s="7" t="n">
        <v>0.08</v>
      </c>
      <c r="E443" s="6" t="inlineStr">
        <is>
          <t>LC 123/2006, art. 18, §5º-J, §5º-M e §24</t>
        </is>
      </c>
    </row>
    <row r="444">
      <c r="A444" s="5" t="inlineStr">
        <is>
          <t>ENQ3</t>
        </is>
      </c>
      <c r="B444" s="6" t="inlineStr">
        <is>
          <t>anexo_iii_50: Alíquota efetiva - Anexo V, 2ª faixa</t>
        </is>
      </c>
      <c r="C444" s="6" t="inlineStr">
        <is>
          <t>(R$ 300.000,00 x 18,00% - R$ 4.500,00) / R$ 300.000,00 = 16,5000%</t>
        </is>
      </c>
      <c r="D444" s="7" t="n">
        <v>0.165</v>
      </c>
      <c r="E444" s="6" t="inlineStr">
        <is>
          <t>LC 123/2006, art. 18, §1º e §1º-A</t>
        </is>
      </c>
    </row>
    <row r="445">
      <c r="A445" s="5" t="inlineStr">
        <is>
          <t>ENQ3</t>
        </is>
      </c>
      <c r="B445" s="6" t="inlineStr">
        <is>
          <t>anexo_iii_50: DAS (Anexo V, R$ 150.000,00)</t>
        </is>
      </c>
      <c r="C445" s="6" t="inlineStr">
        <is>
          <t>R$ 150.000,00 x 16,5000%</t>
        </is>
      </c>
      <c r="D445" s="7" t="n">
        <v>24750</v>
      </c>
      <c r="E445" s="6" t="inlineStr">
        <is>
          <t>LC 123/2006, art. 13</t>
        </is>
      </c>
    </row>
    <row r="446">
      <c r="A446" s="5" t="inlineStr">
        <is>
          <t>ENQ3</t>
        </is>
      </c>
      <c r="B446" s="6" t="inlineStr">
        <is>
          <t>anexo_iii_50: Alíquota efetiva - Anexo III, 2ª faixa</t>
        </is>
      </c>
      <c r="C446" s="6" t="inlineStr">
        <is>
          <t>(R$ 300.000,00 x 11,20% - R$ 9.360,00) / R$ 300.000,00 = 8,0800%</t>
        </is>
      </c>
      <c r="D446" s="7" t="n">
        <v>0.0808</v>
      </c>
      <c r="E446" s="6" t="inlineStr">
        <is>
          <t>LC 123/2006, art. 18, §1º e §1º-A</t>
        </is>
      </c>
    </row>
    <row r="447">
      <c r="A447" s="5" t="inlineStr">
        <is>
          <t>ENQ3</t>
        </is>
      </c>
      <c r="B447" s="6" t="inlineStr">
        <is>
          <t>anexo_iii_50: DAS (Anexo III, R$ 150.000,00)</t>
        </is>
      </c>
      <c r="C447" s="6" t="inlineStr">
        <is>
          <t>R$ 150.000,00 x 8,0800%</t>
        </is>
      </c>
      <c r="D447" s="7" t="n">
        <v>12120</v>
      </c>
      <c r="E447" s="6" t="inlineStr">
        <is>
          <t>LC 123/2006, art. 13</t>
        </is>
      </c>
    </row>
    <row r="448">
      <c r="A448" s="5" t="inlineStr">
        <is>
          <t>ENQ3</t>
        </is>
      </c>
      <c r="B448" s="6" t="inlineStr">
        <is>
          <t>anexo_iii_50: DAS anual</t>
        </is>
      </c>
      <c r="C448" s="6" t="inlineStr">
        <is>
          <t>R$ 24.750,00 + R$ 12.120,00</t>
        </is>
      </c>
      <c r="D448" s="7" t="n">
        <v>36870</v>
      </c>
      <c r="E448" s="6" t="inlineStr">
        <is>
          <t>LC 123/2006, art. 13 e art. 18, §§ 1º e 4º</t>
        </is>
      </c>
    </row>
    <row r="449">
      <c r="A449" s="5" t="inlineStr">
        <is>
          <t>ENQ3</t>
        </is>
      </c>
      <c r="B449" s="6" t="inlineStr">
        <is>
          <t>anexo_iii_100: Fator R (folha 12 meses / RBT12)</t>
        </is>
      </c>
      <c r="C449" s="6" t="inlineStr">
        <is>
          <t>R$ 24.000,00 (salários + pró-labore + FGTS 8%) / R$ 300.000,00 = 8,00% -&gt; Anexo V</t>
        </is>
      </c>
      <c r="D449" s="7" t="n">
        <v>0.08</v>
      </c>
      <c r="E449" s="6" t="inlineStr">
        <is>
          <t>LC 123/2006, art. 18, §5º-J, §5º-M e §24</t>
        </is>
      </c>
    </row>
    <row r="450">
      <c r="A450" s="5" t="inlineStr">
        <is>
          <t>ENQ3</t>
        </is>
      </c>
      <c r="B450" s="6" t="inlineStr">
        <is>
          <t>anexo_iii_100: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anexo_iii_100: DAS anual</t>
        </is>
      </c>
      <c r="C451" s="6" t="inlineStr">
        <is>
          <t>R$ 300.000,00 x 8,0800%</t>
        </is>
      </c>
      <c r="D451" s="7" t="n">
        <v>24240</v>
      </c>
      <c r="E451" s="6" t="inlineStr">
        <is>
          <t>LC 123/2006, art. 13</t>
        </is>
      </c>
    </row>
    <row r="452">
      <c r="A452" s="5" t="inlineStr">
        <is>
          <t>ENQ4</t>
        </is>
      </c>
      <c r="B452" s="6" t="inlineStr">
        <is>
          <t>atual: Fator R (folha 12 meses / RBT12)</t>
        </is>
      </c>
      <c r="C452" s="6" t="inlineStr">
        <is>
          <t>R$ 444.000,00 (salários + pró-labore + FGTS 8%) / R$ 2.400.000,00 = 18,50% -&gt; Anexo V</t>
        </is>
      </c>
      <c r="D452" s="7" t="n">
        <v>0.185</v>
      </c>
      <c r="E452" s="6" t="inlineStr">
        <is>
          <t>LC 123/2006, art. 18, §5º-J, §5º-M e §24</t>
        </is>
      </c>
    </row>
    <row r="453">
      <c r="A453" s="5" t="inlineStr">
        <is>
          <t>ENQ4</t>
        </is>
      </c>
      <c r="B453" s="6" t="inlineStr">
        <is>
          <t>atual: Alíquota efetiva - Anexo V, 5ª faixa</t>
        </is>
      </c>
      <c r="C453" s="6" t="inlineStr">
        <is>
          <t>(R$ 2.400.000,00 x 23,00% - R$ 62.100,00) / R$ 2.400.000,00 = 20,4125%</t>
        </is>
      </c>
      <c r="D453" s="7" t="n">
        <v>0.204125</v>
      </c>
      <c r="E453" s="6" t="inlineStr">
        <is>
          <t>LC 123/2006, art. 18, §1º e §1º-A</t>
        </is>
      </c>
    </row>
    <row r="454">
      <c r="A454" s="5" t="inlineStr">
        <is>
          <t>ENQ4</t>
        </is>
      </c>
      <c r="B454" s="6" t="inlineStr">
        <is>
          <t>atual: DAS anual</t>
        </is>
      </c>
      <c r="C454" s="6" t="inlineStr">
        <is>
          <t>R$ 2.400.000,00 x 20,4125%</t>
        </is>
      </c>
      <c r="D454" s="7" t="n">
        <v>489900</v>
      </c>
      <c r="E454" s="6" t="inlineStr">
        <is>
          <t>LC 123/2006, art. 13</t>
        </is>
      </c>
    </row>
    <row r="455">
      <c r="A455" s="5" t="inlineStr">
        <is>
          <t>ENQ4</t>
        </is>
      </c>
      <c r="B455" s="6" t="inlineStr">
        <is>
          <t>fator_r: Fator R (folha 12 meses / RBT12)</t>
        </is>
      </c>
      <c r="C455" s="6" t="inlineStr">
        <is>
          <t>R$ 672.000,00 (salários + pró-labore + FGTS 8%) / R$ 2.400.000,00 = 28,00% -&gt; Anexo III</t>
        </is>
      </c>
      <c r="D455" s="7" t="n">
        <v>0.28</v>
      </c>
      <c r="E455" s="6" t="inlineStr">
        <is>
          <t>LC 123/2006, art. 18, §5º-J, §5º-M e §24</t>
        </is>
      </c>
    </row>
    <row r="456">
      <c r="A456" s="5" t="inlineStr">
        <is>
          <t>ENQ4</t>
        </is>
      </c>
      <c r="B456" s="6" t="inlineStr">
        <is>
          <t>fator_r: Alíquota efetiva - Anexo III, 5ª faixa</t>
        </is>
      </c>
      <c r="C456" s="6" t="inlineStr">
        <is>
          <t>(R$ 2.400.000,00 x 21,00% - R$ 125.640,00) / R$ 2.400.000,00 = 15,7650%</t>
        </is>
      </c>
      <c r="D456" s="7" t="n">
        <v>0.15765</v>
      </c>
      <c r="E456" s="6" t="inlineStr">
        <is>
          <t>LC 123/2006, art. 18, §1º e §1º-A</t>
        </is>
      </c>
    </row>
    <row r="457">
      <c r="A457" s="5" t="inlineStr">
        <is>
          <t>ENQ4</t>
        </is>
      </c>
      <c r="B457" s="6" t="inlineStr">
        <is>
          <t>fator_r: DAS anual</t>
        </is>
      </c>
      <c r="C457" s="6" t="inlineStr">
        <is>
          <t>R$ 2.400.000,00 x 15,7650%</t>
        </is>
      </c>
      <c r="D457" s="7" t="n">
        <v>378360</v>
      </c>
      <c r="E457" s="6" t="inlineStr">
        <is>
          <t>LC 123/2006, art. 13</t>
        </is>
      </c>
    </row>
    <row r="458">
      <c r="A458" s="5" t="inlineStr">
        <is>
          <t>ENQ4</t>
        </is>
      </c>
      <c r="B458" s="6" t="inlineStr">
        <is>
          <t>anexo_iii_25: Fator R (folha 12 meses / RBT12)</t>
        </is>
      </c>
      <c r="C458" s="6" t="inlineStr">
        <is>
          <t>R$ 444.000,00 (salários + pró-labore + FGTS 8%) / R$ 2.400.000,00 = 18,50% -&gt; Anexo V</t>
        </is>
      </c>
      <c r="D458" s="7" t="n">
        <v>0.185</v>
      </c>
      <c r="E458" s="6" t="inlineStr">
        <is>
          <t>LC 123/2006, art. 18, §5º-J, §5º-M e §24</t>
        </is>
      </c>
    </row>
    <row r="459">
      <c r="A459" s="5" t="inlineStr">
        <is>
          <t>ENQ4</t>
        </is>
      </c>
      <c r="B459" s="6" t="inlineStr">
        <is>
          <t>anexo_iii_25: Alíquota efetiva - Anexo V, 5ª faixa</t>
        </is>
      </c>
      <c r="C459" s="6" t="inlineStr">
        <is>
          <t>(R$ 2.400.000,00 x 23,00% - R$ 62.100,00) / R$ 2.400.000,00 = 20,4125%</t>
        </is>
      </c>
      <c r="D459" s="7" t="n">
        <v>0.204125</v>
      </c>
      <c r="E459" s="6" t="inlineStr">
        <is>
          <t>LC 123/2006, art. 18, §1º e §1º-A</t>
        </is>
      </c>
    </row>
    <row r="460">
      <c r="A460" s="5" t="inlineStr">
        <is>
          <t>ENQ4</t>
        </is>
      </c>
      <c r="B460" s="6" t="inlineStr">
        <is>
          <t>anexo_iii_25: DAS (Anexo V, R$ 1.800.000,00)</t>
        </is>
      </c>
      <c r="C460" s="6" t="inlineStr">
        <is>
          <t>R$ 1.800.000,00 x 20,4125%</t>
        </is>
      </c>
      <c r="D460" s="7" t="n">
        <v>367425</v>
      </c>
      <c r="E460" s="6" t="inlineStr">
        <is>
          <t>LC 123/2006, art. 13</t>
        </is>
      </c>
    </row>
    <row r="461">
      <c r="A461" s="5" t="inlineStr">
        <is>
          <t>ENQ4</t>
        </is>
      </c>
      <c r="B461" s="6" t="inlineStr">
        <is>
          <t>anexo_iii_25: Alíquota efetiva - Anexo III, 5ª faixa</t>
        </is>
      </c>
      <c r="C461" s="6" t="inlineStr">
        <is>
          <t>(R$ 2.400.000,00 x 21,00% - R$ 125.640,00) / R$ 2.400.000,00 = 15,7650%</t>
        </is>
      </c>
      <c r="D461" s="7" t="n">
        <v>0.15765</v>
      </c>
      <c r="E461" s="6" t="inlineStr">
        <is>
          <t>LC 123/2006, art. 18, §1º e §1º-A</t>
        </is>
      </c>
    </row>
    <row r="462">
      <c r="A462" s="5" t="inlineStr">
        <is>
          <t>ENQ4</t>
        </is>
      </c>
      <c r="B462" s="6" t="inlineStr">
        <is>
          <t>anexo_iii_25: DAS (Anexo III, R$ 600.000,00)</t>
        </is>
      </c>
      <c r="C462" s="6" t="inlineStr">
        <is>
          <t>R$ 600.000,00 x 15,7650%</t>
        </is>
      </c>
      <c r="D462" s="7" t="n">
        <v>94590</v>
      </c>
      <c r="E462" s="6" t="inlineStr">
        <is>
          <t>LC 123/2006, art. 13</t>
        </is>
      </c>
    </row>
    <row r="463">
      <c r="A463" s="5" t="inlineStr">
        <is>
          <t>ENQ4</t>
        </is>
      </c>
      <c r="B463" s="6" t="inlineStr">
        <is>
          <t>anexo_iii_25: DAS anual</t>
        </is>
      </c>
      <c r="C463" s="6" t="inlineStr">
        <is>
          <t>R$ 367.425,00 + R$ 94.590,00</t>
        </is>
      </c>
      <c r="D463" s="7" t="n">
        <v>462015</v>
      </c>
      <c r="E463" s="6" t="inlineStr">
        <is>
          <t>LC 123/2006, art. 13 e art. 18, §§ 1º e 4º</t>
        </is>
      </c>
    </row>
    <row r="464">
      <c r="A464" s="5" t="inlineStr">
        <is>
          <t>ENQ4</t>
        </is>
      </c>
      <c r="B464" s="6" t="inlineStr">
        <is>
          <t>anexo_iii_50: Fator R (folha 12 meses / RBT12)</t>
        </is>
      </c>
      <c r="C464" s="6" t="inlineStr">
        <is>
          <t>R$ 444.000,00 (salários + pró-labore + FGTS 8%) / R$ 2.400.000,00 = 18,50% -&gt; Anexo V</t>
        </is>
      </c>
      <c r="D464" s="7" t="n">
        <v>0.185</v>
      </c>
      <c r="E464" s="6" t="inlineStr">
        <is>
          <t>LC 123/2006, art. 18, §5º-J, §5º-M e §24</t>
        </is>
      </c>
    </row>
    <row r="465">
      <c r="A465" s="5" t="inlineStr">
        <is>
          <t>ENQ4</t>
        </is>
      </c>
      <c r="B465" s="6" t="inlineStr">
        <is>
          <t>anexo_iii_50: Alíquota efetiva - Anexo V, 5ª faixa</t>
        </is>
      </c>
      <c r="C465" s="6" t="inlineStr">
        <is>
          <t>(R$ 2.400.000,00 x 23,00% - R$ 62.100,00) / R$ 2.400.000,00 = 20,4125%</t>
        </is>
      </c>
      <c r="D465" s="7" t="n">
        <v>0.204125</v>
      </c>
      <c r="E465" s="6" t="inlineStr">
        <is>
          <t>LC 123/2006, art. 18, §1º e §1º-A</t>
        </is>
      </c>
    </row>
    <row r="466">
      <c r="A466" s="5" t="inlineStr">
        <is>
          <t>ENQ4</t>
        </is>
      </c>
      <c r="B466" s="6" t="inlineStr">
        <is>
          <t>anexo_iii_50: DAS (Anexo V, R$ 1.200.000,00)</t>
        </is>
      </c>
      <c r="C466" s="6" t="inlineStr">
        <is>
          <t>R$ 1.200.000,00 x 20,4125%</t>
        </is>
      </c>
      <c r="D466" s="7" t="n">
        <v>244950</v>
      </c>
      <c r="E466" s="6" t="inlineStr">
        <is>
          <t>LC 123/2006, art. 13</t>
        </is>
      </c>
    </row>
    <row r="467">
      <c r="A467" s="5" t="inlineStr">
        <is>
          <t>ENQ4</t>
        </is>
      </c>
      <c r="B467" s="6" t="inlineStr">
        <is>
          <t>anexo_iii_50: Alíquota efetiva - Anexo III, 5ª faixa</t>
        </is>
      </c>
      <c r="C467" s="6" t="inlineStr">
        <is>
          <t>(R$ 2.400.000,00 x 21,00% - R$ 125.640,00) / R$ 2.400.000,00 = 15,7650%</t>
        </is>
      </c>
      <c r="D467" s="7" t="n">
        <v>0.15765</v>
      </c>
      <c r="E467" s="6" t="inlineStr">
        <is>
          <t>LC 123/2006, art. 18, §1º e §1º-A</t>
        </is>
      </c>
    </row>
    <row r="468">
      <c r="A468" s="5" t="inlineStr">
        <is>
          <t>ENQ4</t>
        </is>
      </c>
      <c r="B468" s="6" t="inlineStr">
        <is>
          <t>anexo_iii_50: DAS (Anexo III, R$ 1.200.000,00)</t>
        </is>
      </c>
      <c r="C468" s="6" t="inlineStr">
        <is>
          <t>R$ 1.200.000,00 x 15,7650%</t>
        </is>
      </c>
      <c r="D468" s="7" t="n">
        <v>189180</v>
      </c>
      <c r="E468" s="6" t="inlineStr">
        <is>
          <t>LC 123/2006, art. 13</t>
        </is>
      </c>
    </row>
    <row r="469">
      <c r="A469" s="5" t="inlineStr">
        <is>
          <t>ENQ4</t>
        </is>
      </c>
      <c r="B469" s="6" t="inlineStr">
        <is>
          <t>anexo_iii_50: DAS anual</t>
        </is>
      </c>
      <c r="C469" s="6" t="inlineStr">
        <is>
          <t>R$ 244.950,00 + R$ 189.180,00</t>
        </is>
      </c>
      <c r="D469" s="7" t="n">
        <v>434130</v>
      </c>
      <c r="E469" s="6" t="inlineStr">
        <is>
          <t>LC 123/2006, art. 13 e art. 18, §§ 1º e 4º</t>
        </is>
      </c>
    </row>
    <row r="470">
      <c r="A470" s="5" t="inlineStr">
        <is>
          <t>ENQ4</t>
        </is>
      </c>
      <c r="B470" s="6" t="inlineStr">
        <is>
          <t>anexo_iii_100: Fator R (folha 12 meses / RBT12)</t>
        </is>
      </c>
      <c r="C470" s="6" t="inlineStr">
        <is>
          <t>R$ 444.000,00 (salários + pró-labore + FGTS 8%) / R$ 2.400.000,00 = 18,50% -&gt; Anexo V</t>
        </is>
      </c>
      <c r="D470" s="7" t="n">
        <v>0.185</v>
      </c>
      <c r="E470" s="6" t="inlineStr">
        <is>
          <t>LC 123/2006, art. 18, §5º-J, §5º-M e §24</t>
        </is>
      </c>
    </row>
    <row r="471">
      <c r="A471" s="5" t="inlineStr">
        <is>
          <t>ENQ4</t>
        </is>
      </c>
      <c r="B471" s="6" t="inlineStr">
        <is>
          <t>anexo_iii_100: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anexo_iii_100: DAS anual</t>
        </is>
      </c>
      <c r="C472" s="6" t="inlineStr">
        <is>
          <t>R$ 2.400.000,00 x 15,7650%</t>
        </is>
      </c>
      <c r="D472" s="7" t="n">
        <v>378360</v>
      </c>
      <c r="E472" s="6" t="inlineStr">
        <is>
          <t>LC 123/2006, art. 13</t>
        </is>
      </c>
    </row>
    <row r="473">
      <c r="A473" s="5" t="inlineStr">
        <is>
          <t>ENQ5</t>
        </is>
      </c>
      <c r="B473" s="6" t="inlineStr">
        <is>
          <t>atual: Fator R (folha 12 meses / RBT12)</t>
        </is>
      </c>
      <c r="C473" s="6" t="inlineStr">
        <is>
          <t>R$ 179.200,00 (salários + pró-labore + FGTS 8%) / R$ 600.000,00 = 29,87% -&gt; Anexo III</t>
        </is>
      </c>
      <c r="D473" s="7" t="n">
        <v>0.2986666666666667</v>
      </c>
      <c r="E473" s="6" t="inlineStr">
        <is>
          <t>LC 123/2006, art. 18, §5º-J, §5º-M e §24</t>
        </is>
      </c>
    </row>
    <row r="474">
      <c r="A474" s="5" t="inlineStr">
        <is>
          <t>ENQ5</t>
        </is>
      </c>
      <c r="B474" s="6" t="inlineStr">
        <is>
          <t>atual: Alíquota efetiva - Anexo III, 3ª faixa</t>
        </is>
      </c>
      <c r="C474" s="6" t="inlineStr">
        <is>
          <t>(R$ 600.000,00 x 13,50% - R$ 17.640,00) / R$ 600.000,00 = 10,5600%</t>
        </is>
      </c>
      <c r="D474" s="7" t="n">
        <v>0.1056</v>
      </c>
      <c r="E474" s="6" t="inlineStr">
        <is>
          <t>LC 123/2006, art. 18, §1º e §1º-A</t>
        </is>
      </c>
    </row>
    <row r="475">
      <c r="A475" s="5" t="inlineStr">
        <is>
          <t>ENQ5</t>
        </is>
      </c>
      <c r="B475" s="6" t="inlineStr">
        <is>
          <t>atual: DAS anual</t>
        </is>
      </c>
      <c r="C475" s="6" t="inlineStr">
        <is>
          <t>R$ 600.000,00 x 10,5600%</t>
        </is>
      </c>
      <c r="D475" s="7" t="n">
        <v>63360</v>
      </c>
      <c r="E475" s="6" t="inlineStr">
        <is>
          <t>LC 123/2006, art. 13</t>
        </is>
      </c>
    </row>
    <row r="476">
      <c r="A476" s="5" t="inlineStr">
        <is>
          <t>ENQ6</t>
        </is>
      </c>
      <c r="B476" s="6" t="inlineStr">
        <is>
          <t>atual: Fator R (folha 12 meses / RBT12)</t>
        </is>
      </c>
      <c r="C476" s="6" t="inlineStr">
        <is>
          <t>R$ 100.000,00 (informada) / R$ 600.000,00 = 16,67% -&gt; Anexo V</t>
        </is>
      </c>
      <c r="D476" s="7" t="n">
        <v>0.1666666666666667</v>
      </c>
      <c r="E476" s="6" t="inlineStr">
        <is>
          <t>LC 123/2006, art. 18, §5º-J, §5º-M e §24</t>
        </is>
      </c>
    </row>
    <row r="477">
      <c r="A477" s="5" t="inlineStr">
        <is>
          <t>ENQ6</t>
        </is>
      </c>
      <c r="B477" s="6" t="inlineStr">
        <is>
          <t>atual: Alíquota efetiva - Anexo V, 3ª faixa</t>
        </is>
      </c>
      <c r="C477" s="6" t="inlineStr">
        <is>
          <t>(R$ 600.000,00 x 19,50% - R$ 9.900,00) / R$ 600.000,00 = 17,8500%</t>
        </is>
      </c>
      <c r="D477" s="7" t="n">
        <v>0.1785</v>
      </c>
      <c r="E477" s="6" t="inlineStr">
        <is>
          <t>LC 123/2006, art. 18, §1º e §1º-A</t>
        </is>
      </c>
    </row>
    <row r="478">
      <c r="A478" s="5" t="inlineStr">
        <is>
          <t>ENQ6</t>
        </is>
      </c>
      <c r="B478" s="6" t="inlineStr">
        <is>
          <t>atual: DAS anual</t>
        </is>
      </c>
      <c r="C478" s="6" t="inlineStr">
        <is>
          <t>R$ 600.000,00 x 17,8500%</t>
        </is>
      </c>
      <c r="D478" s="7" t="n">
        <v>107100</v>
      </c>
      <c r="E478" s="6" t="inlineStr">
        <is>
          <t>LC 123/2006, art. 13</t>
        </is>
      </c>
    </row>
    <row r="479">
      <c r="A479" s="5" t="inlineStr">
        <is>
          <t>ENQ6</t>
        </is>
      </c>
      <c r="B479" s="6" t="inlineStr">
        <is>
          <t>fator_r: Fator R (folha 12 meses / RBT12)</t>
        </is>
      </c>
      <c r="C479" s="6" t="inlineStr">
        <is>
          <t>R$ 168.000,00 (informada) / R$ 600.000,00 = 28,00% -&gt; Anexo III</t>
        </is>
      </c>
      <c r="D479" s="7" t="n">
        <v>0.28</v>
      </c>
      <c r="E479" s="6" t="inlineStr">
        <is>
          <t>LC 123/2006, art. 18, §5º-J, §5º-M e §24</t>
        </is>
      </c>
    </row>
    <row r="480">
      <c r="A480" s="5" t="inlineStr">
        <is>
          <t>ENQ6</t>
        </is>
      </c>
      <c r="B480" s="6" t="inlineStr">
        <is>
          <t>fator_r: Alíquota efetiva - Anexo III, 3ª faixa</t>
        </is>
      </c>
      <c r="C480" s="6" t="inlineStr">
        <is>
          <t>(R$ 600.000,00 x 13,50% - R$ 17.640,00) / R$ 600.000,00 = 10,5600%</t>
        </is>
      </c>
      <c r="D480" s="7" t="n">
        <v>0.1056</v>
      </c>
      <c r="E480" s="6" t="inlineStr">
        <is>
          <t>LC 123/2006, art. 18, §1º e §1º-A</t>
        </is>
      </c>
    </row>
    <row r="481">
      <c r="A481" s="5" t="inlineStr">
        <is>
          <t>ENQ6</t>
        </is>
      </c>
      <c r="B481" s="6" t="inlineStr">
        <is>
          <t>fator_r: DAS anual</t>
        </is>
      </c>
      <c r="C481" s="6" t="inlineStr">
        <is>
          <t>R$ 600.000,00 x 10,5600%</t>
        </is>
      </c>
      <c r="D481" s="7" t="n">
        <v>63360</v>
      </c>
      <c r="E481" s="6" t="inlineStr">
        <is>
          <t>LC 123/2006, art. 13</t>
        </is>
      </c>
    </row>
    <row r="482">
      <c r="A482" s="5" t="inlineStr">
        <is>
          <t>ENQ6</t>
        </is>
      </c>
      <c r="B482" s="6" t="inlineStr">
        <is>
          <t>anexo_iii_25: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anexo_iii_25: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anexo_iii_25: DAS (Anexo V, R$ 450.000,00)</t>
        </is>
      </c>
      <c r="C484" s="6" t="inlineStr">
        <is>
          <t>R$ 450.000,00 x 17,8500%</t>
        </is>
      </c>
      <c r="D484" s="7" t="n">
        <v>80325</v>
      </c>
      <c r="E484" s="6" t="inlineStr">
        <is>
          <t>LC 123/2006, art. 13</t>
        </is>
      </c>
    </row>
    <row r="485">
      <c r="A485" s="5" t="inlineStr">
        <is>
          <t>ENQ6</t>
        </is>
      </c>
      <c r="B485" s="6" t="inlineStr">
        <is>
          <t>anexo_iii_25: Alíquota efetiva - Anexo III, 3ª faixa</t>
        </is>
      </c>
      <c r="C485" s="6" t="inlineStr">
        <is>
          <t>(R$ 600.000,00 x 13,50% - R$ 17.640,00) / R$ 600.000,00 = 10,5600%</t>
        </is>
      </c>
      <c r="D485" s="7" t="n">
        <v>0.1056</v>
      </c>
      <c r="E485" s="6" t="inlineStr">
        <is>
          <t>LC 123/2006, art. 18, §1º e §1º-A</t>
        </is>
      </c>
    </row>
    <row r="486">
      <c r="A486" s="5" t="inlineStr">
        <is>
          <t>ENQ6</t>
        </is>
      </c>
      <c r="B486" s="6" t="inlineStr">
        <is>
          <t>anexo_iii_25: DAS (Anexo III, R$ 150.000,00)</t>
        </is>
      </c>
      <c r="C486" s="6" t="inlineStr">
        <is>
          <t>R$ 150.000,00 x 10,5600%</t>
        </is>
      </c>
      <c r="D486" s="7" t="n">
        <v>15840</v>
      </c>
      <c r="E486" s="6" t="inlineStr">
        <is>
          <t>LC 123/2006, art. 13</t>
        </is>
      </c>
    </row>
    <row r="487">
      <c r="A487" s="5" t="inlineStr">
        <is>
          <t>ENQ6</t>
        </is>
      </c>
      <c r="B487" s="6" t="inlineStr">
        <is>
          <t>anexo_iii_25: DAS anual</t>
        </is>
      </c>
      <c r="C487" s="6" t="inlineStr">
        <is>
          <t>R$ 80.325,00 + R$ 15.840,00</t>
        </is>
      </c>
      <c r="D487" s="7" t="n">
        <v>96165</v>
      </c>
      <c r="E487" s="6" t="inlineStr">
        <is>
          <t>LC 123/2006, art. 13 e art. 18, §§ 1º e 4º</t>
        </is>
      </c>
    </row>
    <row r="488">
      <c r="A488" s="5" t="inlineStr">
        <is>
          <t>ENQ6</t>
        </is>
      </c>
      <c r="B488" s="6" t="inlineStr">
        <is>
          <t>anexo_iii_50: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anexo_iii_50: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anexo_iii_50: DAS (Anexo V, R$ 300.000,00)</t>
        </is>
      </c>
      <c r="C490" s="6" t="inlineStr">
        <is>
          <t>R$ 300.000,00 x 17,8500%</t>
        </is>
      </c>
      <c r="D490" s="7" t="n">
        <v>53550</v>
      </c>
      <c r="E490" s="6" t="inlineStr">
        <is>
          <t>LC 123/2006, art. 13</t>
        </is>
      </c>
    </row>
    <row r="491">
      <c r="A491" s="5" t="inlineStr">
        <is>
          <t>ENQ6</t>
        </is>
      </c>
      <c r="B491" s="6" t="inlineStr">
        <is>
          <t>anexo_iii_50: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anexo_iii_50: DAS (Anexo III, R$ 300.000,00)</t>
        </is>
      </c>
      <c r="C492" s="6" t="inlineStr">
        <is>
          <t>R$ 300.000,00 x 10,5600%</t>
        </is>
      </c>
      <c r="D492" s="7" t="n">
        <v>31680</v>
      </c>
      <c r="E492" s="6" t="inlineStr">
        <is>
          <t>LC 123/2006, art. 13</t>
        </is>
      </c>
    </row>
    <row r="493">
      <c r="A493" s="5" t="inlineStr">
        <is>
          <t>ENQ6</t>
        </is>
      </c>
      <c r="B493" s="6" t="inlineStr">
        <is>
          <t>anexo_iii_50: DAS anual</t>
        </is>
      </c>
      <c r="C493" s="6" t="inlineStr">
        <is>
          <t>R$ 53.550,00 + R$ 31.680,00</t>
        </is>
      </c>
      <c r="D493" s="7" t="n">
        <v>85230</v>
      </c>
      <c r="E493" s="6" t="inlineStr">
        <is>
          <t>LC 123/2006, art. 13 e art. 18, §§ 1º e 4º</t>
        </is>
      </c>
    </row>
    <row r="494">
      <c r="A494" s="5" t="inlineStr">
        <is>
          <t>ENQ6</t>
        </is>
      </c>
      <c r="B494" s="6" t="inlineStr">
        <is>
          <t>anexo_iii_100: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anexo_iii_100: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anexo_iii_100: DAS anual</t>
        </is>
      </c>
      <c r="C496" s="6" t="inlineStr">
        <is>
          <t>R$ 600.000,00 x 10,5600%</t>
        </is>
      </c>
      <c r="D496" s="7" t="n">
        <v>63360</v>
      </c>
      <c r="E496" s="6" t="inlineStr">
        <is>
          <t>LC 123/2006, art. 13</t>
        </is>
      </c>
    </row>
    <row r="497">
      <c r="A497" s="5" t="inlineStr">
        <is>
          <t>SR4-2028</t>
        </is>
      </c>
      <c r="B497" s="6" t="inlineStr">
        <is>
          <t>Anexo I: alíquota efetiva do DAS (2028)</t>
        </is>
      </c>
      <c r="C497" s="6" t="inlineStr">
        <is>
          <t>RBT12 R$ 2.000.000,00, 5ª faixa</t>
        </is>
      </c>
      <c r="D497" s="7" t="n">
        <v>0.09934999999999999</v>
      </c>
      <c r="E497" s="6" t="inlineStr">
        <is>
          <t>LC 123/2006, art. 18, §1º e §1º-A</t>
        </is>
      </c>
    </row>
    <row r="498">
      <c r="A498" s="5" t="inlineStr">
        <is>
          <t>SR4-2028</t>
        </is>
      </c>
      <c r="B498" s="6" t="inlineStr">
        <is>
          <t>Alíquota da fatia do DAS substituída por IBS/CBS</t>
        </is>
      </c>
      <c r="C498" s="6" t="inlineStr">
        <is>
          <t>CBS 15,33% + IBS 0,17% = 15,50% do DAS</t>
        </is>
      </c>
      <c r="D498" s="19" t="n">
        <v>0.155</v>
      </c>
      <c r="E498" s="6" t="inlineStr">
        <is>
          <t>Res. CGSN 190/2026, Anexos I a V (partilha)</t>
        </is>
      </c>
    </row>
    <row r="499">
      <c r="A499" s="5" t="inlineStr">
        <is>
          <t>SR4-2028</t>
        </is>
      </c>
      <c r="B499" s="6" t="inlineStr">
        <is>
          <t>Alíquota de IBS/CBS na venda (por fora)</t>
        </is>
      </c>
      <c r="C499" s="6" t="inlineStr">
        <is>
          <t>com redução setorial de 0%</t>
        </is>
      </c>
      <c r="D499" s="19" t="n">
        <v>0.08799999999999999</v>
      </c>
      <c r="E499" s="6" t="inlineStr">
        <is>
          <t>LC 214/2025; LC 123/2006 (opção pelo regime regular de IBS/CBS)</t>
        </is>
      </c>
    </row>
    <row r="500">
      <c r="A500" s="5" t="inlineStr">
        <is>
          <t>SR4-2028</t>
        </is>
      </c>
      <c r="B500" s="6" t="inlineStr">
        <is>
          <t>Receita líquida — tudo no DAS</t>
        </is>
      </c>
      <c r="C500" s="6" t="inlineStr">
        <is>
          <t>R$ 2.000.000,00 x (1 - 9,94%)</t>
        </is>
      </c>
      <c r="D500" s="7" t="n">
        <v>1801300</v>
      </c>
      <c r="E500" s="6" t="inlineStr">
        <is>
          <t>LC 214/2025; LC 123/2006 (opção pelo regime regular de IBS/CBS)</t>
        </is>
      </c>
    </row>
    <row r="501">
      <c r="A501" s="5" t="inlineStr">
        <is>
          <t>SR4-2028</t>
        </is>
      </c>
      <c r="B501" s="6" t="inlineStr">
        <is>
          <t>Crédito de IBS/CBS nas compras (só por fora)</t>
        </is>
      </c>
      <c r="C501" s="6" t="inlineStr">
        <is>
          <t>R$ 1.200.000,00 x 8,80%</t>
        </is>
      </c>
      <c r="D501" s="7" t="n">
        <v>105600</v>
      </c>
      <c r="E501" s="6" t="inlineStr">
        <is>
          <t>LC 214/2025; LC 123/2006 (opção pelo regime regular de IBS/CBS)</t>
        </is>
      </c>
    </row>
    <row r="502">
      <c r="A502" s="5" t="inlineStr">
        <is>
          <t>SR4-2028</t>
        </is>
      </c>
      <c r="B502" s="6" t="inlineStr">
        <is>
          <t>Receita líquida — IBS/CBS por fora</t>
        </is>
      </c>
      <c r="C502" s="6" t="inlineStr">
        <is>
          <t>R$ 2.000.000,00 x [80% B2B x (1 - e·s)(1 - e·(1-s)) + 20% B2C x (1 - e·(1-s)) / (1 + 8,80%)] + créditos</t>
        </is>
      </c>
      <c r="D502" s="7" t="n">
        <v>1885491.2582391</v>
      </c>
      <c r="E502" s="6" t="inlineStr">
        <is>
          <t>LC 214/2025; LC 123/2006 (opção pelo regime regular de IBS/CBS)</t>
        </is>
      </c>
    </row>
    <row r="503">
      <c r="A503" s="5" t="inlineStr">
        <is>
          <t>SR4-2029</t>
        </is>
      </c>
      <c r="B503" s="6" t="inlineStr">
        <is>
          <t>Anexo I: alíquota efetiva do DAS (2029)</t>
        </is>
      </c>
      <c r="C503" s="6" t="inlineStr">
        <is>
          <t>RBT12 R$ 2.000.000,00, 5ª faixa</t>
        </is>
      </c>
      <c r="D503" s="7" t="n">
        <v>0.09934999999999999</v>
      </c>
      <c r="E503" s="6" t="inlineStr">
        <is>
          <t>LC 123/2006, art. 18, §1º e §1º-A</t>
        </is>
      </c>
    </row>
    <row r="504">
      <c r="A504" s="5" t="inlineStr">
        <is>
          <t>SR4-2029</t>
        </is>
      </c>
      <c r="B504" s="6" t="inlineStr">
        <is>
          <t>Alíquota da fatia do DAS substituída por IBS/CBS</t>
        </is>
      </c>
      <c r="C504" s="6" t="inlineStr">
        <is>
          <t>CBS 15,50% + IBS 3,35% = 18,85% do DAS</t>
        </is>
      </c>
      <c r="D504" s="19" t="n">
        <v>0.1885</v>
      </c>
      <c r="E504" s="6" t="inlineStr">
        <is>
          <t>Res. CGSN 190/2026, Anexos I a V (partilha)</t>
        </is>
      </c>
    </row>
    <row r="505">
      <c r="A505" s="5" t="inlineStr">
        <is>
          <t>SR4-2029</t>
        </is>
      </c>
      <c r="B505" s="6" t="inlineStr">
        <is>
          <t>Alíquota de IBS/CBS na venda (por fora)</t>
        </is>
      </c>
      <c r="C505" s="6" t="inlineStr">
        <is>
          <t>com redução setorial de 0%</t>
        </is>
      </c>
      <c r="D505" s="19" t="n">
        <v>0.1057</v>
      </c>
      <c r="E505" s="6" t="inlineStr">
        <is>
          <t>LC 214/2025; LC 123/2006 (opção pelo regime regular de IBS/CBS)</t>
        </is>
      </c>
    </row>
    <row r="506">
      <c r="A506" s="5" t="inlineStr">
        <is>
          <t>SR4-2029</t>
        </is>
      </c>
      <c r="B506" s="6" t="inlineStr">
        <is>
          <t>Receita líquida — tudo no DAS</t>
        </is>
      </c>
      <c r="C506" s="6" t="inlineStr">
        <is>
          <t>R$ 2.000.000,00 x (1 - 9,94%)</t>
        </is>
      </c>
      <c r="D506" s="7" t="n">
        <v>1801300</v>
      </c>
      <c r="E506" s="6" t="inlineStr">
        <is>
          <t>LC 214/2025; LC 123/2006 (opção pelo regime regular de IBS/CBS)</t>
        </is>
      </c>
    </row>
    <row r="507">
      <c r="A507" s="5" t="inlineStr">
        <is>
          <t>SR4-2029</t>
        </is>
      </c>
      <c r="B507" s="6" t="inlineStr">
        <is>
          <t>Crédito de IBS/CBS nas compras (só por fora)</t>
        </is>
      </c>
      <c r="C507" s="6" t="inlineStr">
        <is>
          <t>R$ 1.200.000,00 x 10,57%</t>
        </is>
      </c>
      <c r="D507" s="7" t="n">
        <v>126840</v>
      </c>
      <c r="E507" s="6" t="inlineStr">
        <is>
          <t>LC 214/2025; LC 123/2006 (opção pelo regime regular de IBS/CBS)</t>
        </is>
      </c>
    </row>
    <row r="508">
      <c r="A508" s="5" t="inlineStr">
        <is>
          <t>SR4-2029</t>
        </is>
      </c>
      <c r="B508" s="6" t="inlineStr">
        <is>
          <t>Receita líquida — IBS/CBS por fora</t>
        </is>
      </c>
      <c r="C508" s="6" t="inlineStr">
        <is>
          <t>R$ 2.000.000,00 x [80% B2B x (1 - e·s)(1 - e·(1-s)) + 20% B2C x (1 - e·(1-s)) / (1 + 10,57%)] + créditos</t>
        </is>
      </c>
      <c r="D508" s="7" t="n">
        <v>1902891.401840707</v>
      </c>
      <c r="E508" s="6" t="inlineStr">
        <is>
          <t>LC 214/2025; LC 123/2006 (opção pelo regime regular de IBS/CBS)</t>
        </is>
      </c>
    </row>
    <row r="509">
      <c r="A509" s="5" t="inlineStr">
        <is>
          <t>SR4-2030</t>
        </is>
      </c>
      <c r="B509" s="6" t="inlineStr">
        <is>
          <t>Anexo I: alíquota efetiva do DAS (2030)</t>
        </is>
      </c>
      <c r="C509" s="6" t="inlineStr">
        <is>
          <t>RBT12 R$ 2.000.000,00, 5ª faixa</t>
        </is>
      </c>
      <c r="D509" s="7" t="n">
        <v>0.09934999999999999</v>
      </c>
      <c r="E509" s="6" t="inlineStr">
        <is>
          <t>LC 123/2006, art. 18, §1º e §1º-A</t>
        </is>
      </c>
    </row>
    <row r="510">
      <c r="A510" s="5" t="inlineStr">
        <is>
          <t>SR4-2030</t>
        </is>
      </c>
      <c r="B510" s="6" t="inlineStr">
        <is>
          <t>Alíquota da fatia do DAS substituída por IBS/CBS</t>
        </is>
      </c>
      <c r="C510" s="6" t="inlineStr">
        <is>
          <t>CBS 15,50% + IBS 6,70% = 22,20% do DAS</t>
        </is>
      </c>
      <c r="D510" s="19" t="n">
        <v>0.222</v>
      </c>
      <c r="E510" s="6" t="inlineStr">
        <is>
          <t>Res. CGSN 190/2026, Anexos I a V (partilha)</t>
        </is>
      </c>
    </row>
    <row r="511">
      <c r="A511" s="5" t="inlineStr">
        <is>
          <t>SR4-2030</t>
        </is>
      </c>
      <c r="B511" s="6" t="inlineStr">
        <is>
          <t>Alíquota de IBS/CBS na venda (por fora)</t>
        </is>
      </c>
      <c r="C511" s="6" t="inlineStr">
        <is>
          <t>com redução setorial de 0%</t>
        </is>
      </c>
      <c r="D511" s="19" t="n">
        <v>0.1234</v>
      </c>
      <c r="E511" s="6" t="inlineStr">
        <is>
          <t>LC 214/2025; LC 123/2006 (opção pelo regime regular de IBS/CBS)</t>
        </is>
      </c>
    </row>
    <row r="512">
      <c r="A512" s="5" t="inlineStr">
        <is>
          <t>SR4-2030</t>
        </is>
      </c>
      <c r="B512" s="6" t="inlineStr">
        <is>
          <t>Receita líquida — tudo no DAS</t>
        </is>
      </c>
      <c r="C512" s="6" t="inlineStr">
        <is>
          <t>R$ 2.000.000,00 x (1 - 9,94%)</t>
        </is>
      </c>
      <c r="D512" s="7" t="n">
        <v>1801300</v>
      </c>
      <c r="E512" s="6" t="inlineStr">
        <is>
          <t>LC 214/2025; LC 123/2006 (opção pelo regime regular de IBS/CBS)</t>
        </is>
      </c>
    </row>
    <row r="513">
      <c r="A513" s="5" t="inlineStr">
        <is>
          <t>SR4-2030</t>
        </is>
      </c>
      <c r="B513" s="6" t="inlineStr">
        <is>
          <t>Crédito de IBS/CBS nas compras (só por fora)</t>
        </is>
      </c>
      <c r="C513" s="6" t="inlineStr">
        <is>
          <t>R$ 1.200.000,00 x 12,34%</t>
        </is>
      </c>
      <c r="D513" s="7" t="n">
        <v>148080</v>
      </c>
      <c r="E513" s="6" t="inlineStr">
        <is>
          <t>LC 214/2025; LC 123/2006 (opção pelo regime regular de IBS/CBS)</t>
        </is>
      </c>
    </row>
    <row r="514">
      <c r="A514" s="5" t="inlineStr">
        <is>
          <t>SR4-2030</t>
        </is>
      </c>
      <c r="B514" s="6" t="inlineStr">
        <is>
          <t>Receita líquida — IBS/CBS por fora</t>
        </is>
      </c>
      <c r="C514" s="6" t="inlineStr">
        <is>
          <t>R$ 2.000.000,00 x [80% B2B x (1 - e·s)(1 - e·(1-s)) + 20% B2C x (1 - e·(1-s)) / (1 + 12,34%)] + créditos</t>
        </is>
      </c>
      <c r="D514" s="7" t="n">
        <v>1920388.043056786</v>
      </c>
      <c r="E514" s="6" t="inlineStr">
        <is>
          <t>LC 214/2025; LC 123/2006 (opção pelo regime regular de IBS/CBS)</t>
        </is>
      </c>
    </row>
    <row r="515">
      <c r="A515" s="5" t="inlineStr">
        <is>
          <t>SR4-2031</t>
        </is>
      </c>
      <c r="B515" s="6" t="inlineStr">
        <is>
          <t>Anexo I: alíquota efetiva do DAS (2031)</t>
        </is>
      </c>
      <c r="C515" s="6" t="inlineStr">
        <is>
          <t>RBT12 R$ 2.000.000,00, 5ª faixa</t>
        </is>
      </c>
      <c r="D515" s="7" t="n">
        <v>0.09934999999999999</v>
      </c>
      <c r="E515" s="6" t="inlineStr">
        <is>
          <t>LC 123/2006, art. 18, §1º e §1º-A</t>
        </is>
      </c>
    </row>
    <row r="516">
      <c r="A516" s="5" t="inlineStr">
        <is>
          <t>SR4-2031</t>
        </is>
      </c>
      <c r="B516" s="6" t="inlineStr">
        <is>
          <t>Alíquota da fatia do DAS substituída por IBS/CBS</t>
        </is>
      </c>
      <c r="C516" s="6" t="inlineStr">
        <is>
          <t>CBS 15,50% + IBS 10,05% = 25,55% do DAS</t>
        </is>
      </c>
      <c r="D516" s="19" t="n">
        <v>0.2555</v>
      </c>
      <c r="E516" s="6" t="inlineStr">
        <is>
          <t>Res. CGSN 190/2026, Anexos I a V (partilha)</t>
        </is>
      </c>
    </row>
    <row r="517">
      <c r="A517" s="5" t="inlineStr">
        <is>
          <t>SR4-2031</t>
        </is>
      </c>
      <c r="B517" s="6" t="inlineStr">
        <is>
          <t>Alíquota de IBS/CBS na venda (por fora)</t>
        </is>
      </c>
      <c r="C517" s="6" t="inlineStr">
        <is>
          <t>com redução setorial de 0%</t>
        </is>
      </c>
      <c r="D517" s="19" t="n">
        <v>0.1411</v>
      </c>
      <c r="E517" s="6" t="inlineStr">
        <is>
          <t>LC 214/2025; LC 123/2006 (opção pelo regime regular de IBS/CBS)</t>
        </is>
      </c>
    </row>
    <row r="518">
      <c r="A518" s="5" t="inlineStr">
        <is>
          <t>SR4-2031</t>
        </is>
      </c>
      <c r="B518" s="6" t="inlineStr">
        <is>
          <t>Receita líquida — tudo no DAS</t>
        </is>
      </c>
      <c r="C518" s="6" t="inlineStr">
        <is>
          <t>R$ 2.000.000,00 x (1 - 9,94%)</t>
        </is>
      </c>
      <c r="D518" s="7" t="n">
        <v>1801300</v>
      </c>
      <c r="E518" s="6" t="inlineStr">
        <is>
          <t>LC 214/2025; LC 123/2006 (opção pelo regime regular de IBS/CBS)</t>
        </is>
      </c>
    </row>
    <row r="519">
      <c r="A519" s="5" t="inlineStr">
        <is>
          <t>SR4-2031</t>
        </is>
      </c>
      <c r="B519" s="6" t="inlineStr">
        <is>
          <t>Crédito de IBS/CBS nas compras (só por fora)</t>
        </is>
      </c>
      <c r="C519" s="6" t="inlineStr">
        <is>
          <t>R$ 1.200.000,00 x 14,11%</t>
        </is>
      </c>
      <c r="D519" s="7" t="n">
        <v>169320</v>
      </c>
      <c r="E519" s="6" t="inlineStr">
        <is>
          <t>LC 214/2025; LC 123/2006 (opção pelo regime regular de IBS/CBS)</t>
        </is>
      </c>
    </row>
    <row r="520">
      <c r="A520" s="5" t="inlineStr">
        <is>
          <t>SR4-2031</t>
        </is>
      </c>
      <c r="B520" s="6" t="inlineStr">
        <is>
          <t>Receita líquida — IBS/CBS por fora</t>
        </is>
      </c>
      <c r="C520" s="6" t="inlineStr">
        <is>
          <t>R$ 2.000.000,00 x [80% B2B x (1 - e·s)(1 - e·(1-s)) + 20% B2C x (1 - e·(1-s)) / (1 + 14,11%)] + créditos</t>
        </is>
      </c>
      <c r="D520" s="7" t="n">
        <v>1937975.041986326</v>
      </c>
      <c r="E520" s="6" t="inlineStr">
        <is>
          <t>LC 214/2025; LC 123/2006 (opção pelo regime regular de IBS/CBS)</t>
        </is>
      </c>
    </row>
    <row r="521">
      <c r="A521" s="5" t="inlineStr">
        <is>
          <t>SR4-2032</t>
        </is>
      </c>
      <c r="B521" s="6" t="inlineStr">
        <is>
          <t>Anexo I: alíquota efetiva do DAS (2032)</t>
        </is>
      </c>
      <c r="C521" s="6" t="inlineStr">
        <is>
          <t>RBT12 R$ 2.000.000,00, 5ª faixa</t>
        </is>
      </c>
      <c r="D521" s="7" t="n">
        <v>0.09934999999999999</v>
      </c>
      <c r="E521" s="6" t="inlineStr">
        <is>
          <t>LC 123/2006, art. 18, §1º e §1º-A</t>
        </is>
      </c>
    </row>
    <row r="522">
      <c r="A522" s="5" t="inlineStr">
        <is>
          <t>SR4-2032</t>
        </is>
      </c>
      <c r="B522" s="6" t="inlineStr">
        <is>
          <t>Alíquota da fatia do DAS substituída por IBS/CBS</t>
        </is>
      </c>
      <c r="C522" s="6" t="inlineStr">
        <is>
          <t>CBS 15,50% + IBS 13,40% = 28,90% do DAS</t>
        </is>
      </c>
      <c r="D522" s="19" t="n">
        <v>0.289</v>
      </c>
      <c r="E522" s="6" t="inlineStr">
        <is>
          <t>Res. CGSN 190/2026, Anexos I a V (partilha)</t>
        </is>
      </c>
    </row>
    <row r="523">
      <c r="A523" s="5" t="inlineStr">
        <is>
          <t>SR4-2032</t>
        </is>
      </c>
      <c r="B523" s="6" t="inlineStr">
        <is>
          <t>Alíquota de IBS/CBS na venda (por fora)</t>
        </is>
      </c>
      <c r="C523" s="6" t="inlineStr">
        <is>
          <t>com redução setorial de 0%</t>
        </is>
      </c>
      <c r="D523" s="19" t="n">
        <v>0.1588</v>
      </c>
      <c r="E523" s="6" t="inlineStr">
        <is>
          <t>LC 214/2025; LC 123/2006 (opção pelo regime regular de IBS/CBS)</t>
        </is>
      </c>
    </row>
    <row r="524">
      <c r="A524" s="5" t="inlineStr">
        <is>
          <t>SR4-2032</t>
        </is>
      </c>
      <c r="B524" s="6" t="inlineStr">
        <is>
          <t>Receita líquida — tudo no DAS</t>
        </is>
      </c>
      <c r="C524" s="6" t="inlineStr">
        <is>
          <t>R$ 2.000.000,00 x (1 - 9,94%)</t>
        </is>
      </c>
      <c r="D524" s="7" t="n">
        <v>1801300</v>
      </c>
      <c r="E524" s="6" t="inlineStr">
        <is>
          <t>LC 214/2025; LC 123/2006 (opção pelo regime regular de IBS/CBS)</t>
        </is>
      </c>
    </row>
    <row r="525">
      <c r="A525" s="5" t="inlineStr">
        <is>
          <t>SR4-2032</t>
        </is>
      </c>
      <c r="B525" s="6" t="inlineStr">
        <is>
          <t>Crédito de IBS/CBS nas compras (só por fora)</t>
        </is>
      </c>
      <c r="C525" s="6" t="inlineStr">
        <is>
          <t>R$ 1.200.000,00 x 15,88%</t>
        </is>
      </c>
      <c r="D525" s="7" t="n">
        <v>190560</v>
      </c>
      <c r="E525" s="6" t="inlineStr">
        <is>
          <t>LC 214/2025; LC 123/2006 (opção pelo regime regular de IBS/CBS)</t>
        </is>
      </c>
    </row>
    <row r="526">
      <c r="A526" s="5" t="inlineStr">
        <is>
          <t>SR4-2032</t>
        </is>
      </c>
      <c r="B526" s="6" t="inlineStr">
        <is>
          <t>Receita líquida — IBS/CBS por fora</t>
        </is>
      </c>
      <c r="C526" s="6" t="inlineStr">
        <is>
          <t>R$ 2.000.000,00 x [80% B2B x (1 - e·s)(1 - e·(1-s)) + 20% B2C x (1 - e·(1-s)) / (1 + 15,88%)] + créditos</t>
        </is>
      </c>
      <c r="D526" s="7" t="n">
        <v>1955646.63386207</v>
      </c>
      <c r="E526" s="6" t="inlineStr">
        <is>
          <t>LC 214/2025; LC 123/2006 (opção pelo regime regular de IBS/CBS)</t>
        </is>
      </c>
    </row>
    <row r="527">
      <c r="A527" s="5" t="inlineStr">
        <is>
          <t>SR5-2029</t>
        </is>
      </c>
      <c r="B527" s="6" t="inlineStr">
        <is>
          <t>Anexo III: alíquota efetiva do DAS (2029)</t>
        </is>
      </c>
      <c r="C527" s="6" t="inlineStr">
        <is>
          <t>RBT12 R$ 600.000,00, 3ª faixa</t>
        </is>
      </c>
      <c r="D527" s="7" t="n">
        <v>0.1056</v>
      </c>
      <c r="E527" s="6" t="inlineStr">
        <is>
          <t>LC 123/2006, art. 18, §1º e §1º-A</t>
        </is>
      </c>
    </row>
    <row r="528">
      <c r="A528" s="5" t="inlineStr">
        <is>
          <t>SR5-2029</t>
        </is>
      </c>
      <c r="B528" s="6" t="inlineStr">
        <is>
          <t>Alíquota da fatia do DAS substituída por IBS/CBS</t>
        </is>
      </c>
      <c r="C528" s="6" t="inlineStr">
        <is>
          <t>CBS 16,60% + IBS 3,25% = 19,85% do DAS</t>
        </is>
      </c>
      <c r="D528" s="19" t="n">
        <v>0.1985</v>
      </c>
      <c r="E528" s="6" t="inlineStr">
        <is>
          <t>Res. CGSN 190/2026, Anexos I a V (partilha)</t>
        </is>
      </c>
    </row>
    <row r="529">
      <c r="A529" s="5" t="inlineStr">
        <is>
          <t>SR5-2029</t>
        </is>
      </c>
      <c r="B529" s="6" t="inlineStr">
        <is>
          <t>Alíquota de IBS/CBS na venda (por fora)</t>
        </is>
      </c>
      <c r="C529" s="6" t="inlineStr">
        <is>
          <t>com redução setorial de 0%</t>
        </is>
      </c>
      <c r="D529" s="19" t="n">
        <v>0.1057</v>
      </c>
      <c r="E529" s="6" t="inlineStr">
        <is>
          <t>LC 214/2025; LC 123/2006 (opção pelo regime regular de IBS/CBS)</t>
        </is>
      </c>
    </row>
    <row r="530">
      <c r="A530" s="5" t="inlineStr">
        <is>
          <t>SR5-2029</t>
        </is>
      </c>
      <c r="B530" s="6" t="inlineStr">
        <is>
          <t>Receita líquida — tudo no DAS</t>
        </is>
      </c>
      <c r="C530" s="6" t="inlineStr">
        <is>
          <t>R$ 600.000,00 x (1 - 10,56%)</t>
        </is>
      </c>
      <c r="D530" s="7" t="n">
        <v>536640</v>
      </c>
      <c r="E530" s="6" t="inlineStr">
        <is>
          <t>LC 214/2025; LC 123/2006 (opção pelo regime regular de IBS/CBS)</t>
        </is>
      </c>
    </row>
    <row r="531">
      <c r="A531" s="5" t="inlineStr">
        <is>
          <t>SR5-2029</t>
        </is>
      </c>
      <c r="B531" s="6" t="inlineStr">
        <is>
          <t>Crédito de IBS/CBS nas compras (só por fora)</t>
        </is>
      </c>
      <c r="C531" s="6" t="inlineStr">
        <is>
          <t>R$ 0,00 x 10,57%</t>
        </is>
      </c>
      <c r="D531" s="7" t="n">
        <v>0</v>
      </c>
      <c r="E531" s="6" t="inlineStr">
        <is>
          <t>LC 214/2025; LC 123/2006 (opção pelo regime regular de IBS/CBS)</t>
        </is>
      </c>
    </row>
    <row r="532">
      <c r="A532" s="5" t="inlineStr">
        <is>
          <t>SR5-2029</t>
        </is>
      </c>
      <c r="B532" s="6" t="inlineStr">
        <is>
          <t>Receita líquida — IBS/CBS por fora</t>
        </is>
      </c>
      <c r="C532" s="6" t="inlineStr">
        <is>
          <t>R$ 600.000,00 x [100% B2B x (1 - e·s)(1 - e·(1-s)) + 0% B2C x (1 - e·(1-s)) / (1 + 10,57%)] + créditos</t>
        </is>
      </c>
      <c r="D532" s="7" t="n">
        <v>537704.493771264</v>
      </c>
      <c r="E532" s="6" t="inlineStr">
        <is>
          <t>LC 214/2025; LC 123/2006 (opção pelo regime regular de IBS/CBS)</t>
        </is>
      </c>
    </row>
    <row r="533">
      <c r="A533" s="5" t="inlineStr">
        <is>
          <t>SR5-2031</t>
        </is>
      </c>
      <c r="B533" s="6" t="inlineStr">
        <is>
          <t>Anexo III: alíquota efetiva do DAS (2031)</t>
        </is>
      </c>
      <c r="C533" s="6" t="inlineStr">
        <is>
          <t>RBT12 R$ 600.000,00, 3ª faixa</t>
        </is>
      </c>
      <c r="D533" s="7" t="n">
        <v>0.1056</v>
      </c>
      <c r="E533" s="6" t="inlineStr">
        <is>
          <t>LC 123/2006, art. 18, §1º e §1º-A</t>
        </is>
      </c>
    </row>
    <row r="534">
      <c r="A534" s="5" t="inlineStr">
        <is>
          <t>SR5-2031</t>
        </is>
      </c>
      <c r="B534" s="6" t="inlineStr">
        <is>
          <t>Alíquota da fatia do DAS substituída por IBS/CBS</t>
        </is>
      </c>
      <c r="C534" s="6" t="inlineStr">
        <is>
          <t>CBS 16,60% + IBS 9,75% = 26,35% do DAS</t>
        </is>
      </c>
      <c r="D534" s="19" t="n">
        <v>0.2635</v>
      </c>
      <c r="E534" s="6" t="inlineStr">
        <is>
          <t>Res. CGSN 190/2026, Anexos I a V (partilha)</t>
        </is>
      </c>
    </row>
    <row r="535">
      <c r="A535" s="5" t="inlineStr">
        <is>
          <t>SR5-2031</t>
        </is>
      </c>
      <c r="B535" s="6" t="inlineStr">
        <is>
          <t>Alíquota de IBS/CBS na venda (por fora)</t>
        </is>
      </c>
      <c r="C535" s="6" t="inlineStr">
        <is>
          <t>com redução setorial de 0%</t>
        </is>
      </c>
      <c r="D535" s="19" t="n">
        <v>0.1411</v>
      </c>
      <c r="E535" s="6" t="inlineStr">
        <is>
          <t>LC 214/2025; LC 123/2006 (opção pelo regime regular de IBS/CBS)</t>
        </is>
      </c>
    </row>
    <row r="536">
      <c r="A536" s="5" t="inlineStr">
        <is>
          <t>SR5-2031</t>
        </is>
      </c>
      <c r="B536" s="6" t="inlineStr">
        <is>
          <t>Receita líquida — tudo no DAS</t>
        </is>
      </c>
      <c r="C536" s="6" t="inlineStr">
        <is>
          <t>R$ 600.000,00 x (1 - 10,56%)</t>
        </is>
      </c>
      <c r="D536" s="7" t="n">
        <v>536640</v>
      </c>
      <c r="E536" s="6" t="inlineStr">
        <is>
          <t>LC 214/2025; LC 123/2006 (opção pelo regime regular de IBS/CBS)</t>
        </is>
      </c>
    </row>
    <row r="537">
      <c r="A537" s="5" t="inlineStr">
        <is>
          <t>SR5-2031</t>
        </is>
      </c>
      <c r="B537" s="6" t="inlineStr">
        <is>
          <t>Crédito de IBS/CBS nas compras (só por fora)</t>
        </is>
      </c>
      <c r="C537" s="6" t="inlineStr">
        <is>
          <t>R$ 0,00 x 14,11%</t>
        </is>
      </c>
      <c r="D537" s="7" t="n">
        <v>0</v>
      </c>
      <c r="E537" s="6" t="inlineStr">
        <is>
          <t>LC 214/2025; LC 123/2006 (opção pelo regime regular de IBS/CBS)</t>
        </is>
      </c>
    </row>
    <row r="538">
      <c r="A538" s="5" t="inlineStr">
        <is>
          <t>SR5-2031</t>
        </is>
      </c>
      <c r="B538" s="6" t="inlineStr">
        <is>
          <t>Receita líquida — IBS/CBS por fora</t>
        </is>
      </c>
      <c r="C538" s="6" t="inlineStr">
        <is>
          <t>R$ 600.000,00 x [100% B2B x (1 - e·s)(1 - e·(1-s)) + 0% B2C x (1 - e·(1-s)) / (1 + 14,11%)] + créditos</t>
        </is>
      </c>
      <c r="D538" s="7" t="n">
        <v>537938.471606784</v>
      </c>
      <c r="E538" s="6" t="inlineStr">
        <is>
          <t>LC 214/2025; LC 123/2006 (opção pelo regime regular de IBS/CBS)</t>
        </is>
      </c>
    </row>
    <row r="539">
      <c r="A539" s="5" t="inlineStr">
        <is>
          <t>SR6-2028</t>
        </is>
      </c>
      <c r="B539" s="6" t="inlineStr">
        <is>
          <t>Anexo III: alíquota efetiva do DAS (2028)</t>
        </is>
      </c>
      <c r="C539" s="6" t="inlineStr">
        <is>
          <t>RBT12 R$ 3.000.000,00, 5ª faixa</t>
        </is>
      </c>
      <c r="D539" s="7" t="n">
        <v>0.16812</v>
      </c>
      <c r="E539" s="6" t="inlineStr">
        <is>
          <t>LC 123/2006, art. 18, §1º e §1º-A</t>
        </is>
      </c>
    </row>
    <row r="540">
      <c r="A540" s="5" t="inlineStr">
        <is>
          <t>SR6-2028</t>
        </is>
      </c>
      <c r="B540" s="6" t="inlineStr">
        <is>
          <t>Alíquota da fatia do DAS substituída por IBS/CBS</t>
        </is>
      </c>
      <c r="C540" s="6" t="inlineStr">
        <is>
          <t>CBS 16,30% + IBS 0,18% = 16,48% do DAS</t>
        </is>
      </c>
      <c r="D540" s="19" t="n">
        <v>0.1648188994971369</v>
      </c>
      <c r="E540" s="6" t="inlineStr">
        <is>
          <t>Res. CGSN 190/2026, Anexos I a V (partilha)</t>
        </is>
      </c>
    </row>
    <row r="541">
      <c r="A541" s="5" t="inlineStr">
        <is>
          <t>SR6-2028</t>
        </is>
      </c>
      <c r="B541" s="6" t="inlineStr">
        <is>
          <t>Alíquota de IBS/CBS na venda (por fora)</t>
        </is>
      </c>
      <c r="C541" s="6" t="inlineStr">
        <is>
          <t>com redução setorial de 0%</t>
        </is>
      </c>
      <c r="D541" s="19" t="n">
        <v>0.08799999999999999</v>
      </c>
      <c r="E541" s="6" t="inlineStr">
        <is>
          <t>LC 214/2025; LC 123/2006 (opção pelo regime regular de IBS/CBS)</t>
        </is>
      </c>
    </row>
    <row r="542">
      <c r="A542" s="5" t="inlineStr">
        <is>
          <t>SR6-2028</t>
        </is>
      </c>
      <c r="B542" s="6" t="inlineStr">
        <is>
          <t>Receita líquida — tudo no DAS</t>
        </is>
      </c>
      <c r="C542" s="6" t="inlineStr">
        <is>
          <t>R$ 3.000.000,00 x (1 - 16,81%)</t>
        </is>
      </c>
      <c r="D542" s="7" t="n">
        <v>2495640</v>
      </c>
      <c r="E542" s="6" t="inlineStr">
        <is>
          <t>LC 214/2025; LC 123/2006 (opção pelo regime regular de IBS/CBS)</t>
        </is>
      </c>
    </row>
    <row r="543">
      <c r="A543" s="5" t="inlineStr">
        <is>
          <t>SR6-2028</t>
        </is>
      </c>
      <c r="B543" s="6" t="inlineStr">
        <is>
          <t>Crédito de IBS/CBS nas compras (só por fora)</t>
        </is>
      </c>
      <c r="C543" s="6" t="inlineStr">
        <is>
          <t>R$ 0,00 x 8,80%</t>
        </is>
      </c>
      <c r="D543" s="7" t="n">
        <v>0</v>
      </c>
      <c r="E543" s="6" t="inlineStr">
        <is>
          <t>LC 214/2025; LC 123/2006 (opção pelo regime regular de IBS/CBS)</t>
        </is>
      </c>
    </row>
    <row r="544">
      <c r="A544" s="5" t="inlineStr">
        <is>
          <t>SR6-2028</t>
        </is>
      </c>
      <c r="B544" s="6" t="inlineStr">
        <is>
          <t>Receita líquida — IBS/CBS por fora</t>
        </is>
      </c>
      <c r="C544" s="6" t="inlineStr">
        <is>
          <t>R$ 3.000.000,00 x [50% B2B x (1 - e·s)(1 - e·(1-s)) + 50% B2C x (1 - e·(1-s)) / (1 + 8,80%)] + créditos</t>
        </is>
      </c>
      <c r="D544" s="7" t="n">
        <v>2438751.648216777</v>
      </c>
      <c r="E544" s="6" t="inlineStr">
        <is>
          <t>LC 214/2025; LC 123/2006 (opção pelo regime regular de IBS/CBS)</t>
        </is>
      </c>
    </row>
    <row r="545">
      <c r="A545" s="5" t="inlineStr">
        <is>
          <t>SR6-2029</t>
        </is>
      </c>
      <c r="B545" s="6" t="inlineStr">
        <is>
          <t>Anexo III: alíquota efetiva do DAS (2029)</t>
        </is>
      </c>
      <c r="C545" s="6" t="inlineStr">
        <is>
          <t>RBT12 R$ 3.000.000,00, 5ª faixa</t>
        </is>
      </c>
      <c r="D545" s="7" t="n">
        <v>0.16812</v>
      </c>
      <c r="E545" s="6" t="inlineStr">
        <is>
          <t>LC 123/2006, art. 18, §1º e §1º-A</t>
        </is>
      </c>
    </row>
    <row r="546">
      <c r="A546" s="5" t="inlineStr">
        <is>
          <t>SR6-2029</t>
        </is>
      </c>
      <c r="B546" s="6" t="inlineStr">
        <is>
          <t>Alíquota da fatia do DAS substituída por IBS/CBS</t>
        </is>
      </c>
      <c r="C546" s="6" t="inlineStr">
        <is>
          <t>CBS 16,36% + IBS 3,51% = 19,87% do DAS</t>
        </is>
      </c>
      <c r="D546" s="19" t="n">
        <v>0.1986790292443734</v>
      </c>
      <c r="E546" s="6" t="inlineStr">
        <is>
          <t>Res. CGSN 190/2026, Anexos I a V (partilha)</t>
        </is>
      </c>
    </row>
    <row r="547">
      <c r="A547" s="5" t="inlineStr">
        <is>
          <t>SR6-2029</t>
        </is>
      </c>
      <c r="B547" s="6" t="inlineStr">
        <is>
          <t>Alíquota de IBS/CBS na venda (por fora)</t>
        </is>
      </c>
      <c r="C547" s="6" t="inlineStr">
        <is>
          <t>com redução setorial de 0%</t>
        </is>
      </c>
      <c r="D547" s="19" t="n">
        <v>0.1057</v>
      </c>
      <c r="E547" s="6" t="inlineStr">
        <is>
          <t>LC 214/2025; LC 123/2006 (opção pelo regime regular de IBS/CBS)</t>
        </is>
      </c>
    </row>
    <row r="548">
      <c r="A548" s="5" t="inlineStr">
        <is>
          <t>SR6-2029</t>
        </is>
      </c>
      <c r="B548" s="6" t="inlineStr">
        <is>
          <t>Receita líquida — tudo no DAS</t>
        </is>
      </c>
      <c r="C548" s="6" t="inlineStr">
        <is>
          <t>R$ 3.000.000,00 x (1 - 16,81%)</t>
        </is>
      </c>
      <c r="D548" s="7" t="n">
        <v>2495640</v>
      </c>
      <c r="E548" s="6" t="inlineStr">
        <is>
          <t>LC 214/2025; LC 123/2006 (opção pelo regime regular de IBS/CBS)</t>
        </is>
      </c>
    </row>
    <row r="549">
      <c r="A549" s="5" t="inlineStr">
        <is>
          <t>SR6-2029</t>
        </is>
      </c>
      <c r="B549" s="6" t="inlineStr">
        <is>
          <t>Crédito de IBS/CBS nas compras (só por fora)</t>
        </is>
      </c>
      <c r="C549" s="6" t="inlineStr">
        <is>
          <t>R$ 0,00 x 10,57%</t>
        </is>
      </c>
      <c r="D549" s="7" t="n">
        <v>0</v>
      </c>
      <c r="E549" s="6" t="inlineStr">
        <is>
          <t>LC 214/2025; LC 123/2006 (opção pelo regime regular de IBS/CBS)</t>
        </is>
      </c>
    </row>
    <row r="550">
      <c r="A550" s="5" t="inlineStr">
        <is>
          <t>SR6-2029</t>
        </is>
      </c>
      <c r="B550" s="6" t="inlineStr">
        <is>
          <t>Receita líquida — IBS/CBS por fora</t>
        </is>
      </c>
      <c r="C550" s="6" t="inlineStr">
        <is>
          <t>R$ 3.000.000,00 x [50% B2B x (1 - e·s)(1 - e·(1-s)) + 50% B2C x (1 - e·(1-s)) / (1 + 10,57%)] + créditos</t>
        </is>
      </c>
      <c r="D550" s="7" t="n">
        <v>2428416.989377519</v>
      </c>
      <c r="E550" s="6" t="inlineStr">
        <is>
          <t>LC 214/2025; LC 123/2006 (opção pelo regime regular de IBS/CBS)</t>
        </is>
      </c>
    </row>
    <row r="551">
      <c r="A551" s="5" t="inlineStr">
        <is>
          <t>SR6-2032</t>
        </is>
      </c>
      <c r="B551" s="6" t="inlineStr">
        <is>
          <t>Anexo III: alíquota efetiva do DAS (2032)</t>
        </is>
      </c>
      <c r="C551" s="6" t="inlineStr">
        <is>
          <t>RBT12 R$ 3.000.000,00, 5ª faixa</t>
        </is>
      </c>
      <c r="D551" s="7" t="n">
        <v>0.16812</v>
      </c>
      <c r="E551" s="6" t="inlineStr">
        <is>
          <t>LC 123/2006, art. 18, §1º e §1º-A</t>
        </is>
      </c>
    </row>
    <row r="552">
      <c r="A552" s="5" t="inlineStr">
        <is>
          <t>SR6-2032</t>
        </is>
      </c>
      <c r="B552" s="6" t="inlineStr">
        <is>
          <t>Alíquota da fatia do DAS substituída por IBS/CBS</t>
        </is>
      </c>
      <c r="C552" s="6" t="inlineStr">
        <is>
          <t>CBS 16,04% + IBS 13,78% = 29,82% do DAS</t>
        </is>
      </c>
      <c r="D552" s="19" t="n">
        <v>0.2981867948783231</v>
      </c>
      <c r="E552" s="6" t="inlineStr">
        <is>
          <t>Res. CGSN 190/2026, Anexos I a V (partilha)</t>
        </is>
      </c>
    </row>
    <row r="553">
      <c r="A553" s="5" t="inlineStr">
        <is>
          <t>SR6-2032</t>
        </is>
      </c>
      <c r="B553" s="6" t="inlineStr">
        <is>
          <t>Alíquota de IBS/CBS na venda (por fora)</t>
        </is>
      </c>
      <c r="C553" s="6" t="inlineStr">
        <is>
          <t>com redução setorial de 0%</t>
        </is>
      </c>
      <c r="D553" s="19" t="n">
        <v>0.1588</v>
      </c>
      <c r="E553" s="6" t="inlineStr">
        <is>
          <t>LC 214/2025; LC 123/2006 (opção pelo regime regular de IBS/CBS)</t>
        </is>
      </c>
    </row>
    <row r="554">
      <c r="A554" s="5" t="inlineStr">
        <is>
          <t>SR6-2032</t>
        </is>
      </c>
      <c r="B554" s="6" t="inlineStr">
        <is>
          <t>Receita líquida — tudo no DAS</t>
        </is>
      </c>
      <c r="C554" s="6" t="inlineStr">
        <is>
          <t>R$ 3.000.000,00 x (1 - 16,81%)</t>
        </is>
      </c>
      <c r="D554" s="7" t="n">
        <v>2495640</v>
      </c>
      <c r="E554" s="6" t="inlineStr">
        <is>
          <t>LC 214/2025; LC 123/2006 (opção pelo regime regular de IBS/CBS)</t>
        </is>
      </c>
    </row>
    <row r="555">
      <c r="A555" s="5" t="inlineStr">
        <is>
          <t>SR6-2032</t>
        </is>
      </c>
      <c r="B555" s="6" t="inlineStr">
        <is>
          <t>Crédito de IBS/CBS nas compras (só por fora)</t>
        </is>
      </c>
      <c r="C555" s="6" t="inlineStr">
        <is>
          <t>R$ 0,00 x 15,88%</t>
        </is>
      </c>
      <c r="D555" s="7" t="n">
        <v>0</v>
      </c>
      <c r="E555" s="6" t="inlineStr">
        <is>
          <t>LC 214/2025; LC 123/2006 (opção pelo regime regular de IBS/CBS)</t>
        </is>
      </c>
    </row>
    <row r="556">
      <c r="A556" s="5" t="inlineStr">
        <is>
          <t>SR6-2032</t>
        </is>
      </c>
      <c r="B556" s="6" t="inlineStr">
        <is>
          <t>Receita líquida — IBS/CBS por fora</t>
        </is>
      </c>
      <c r="C556" s="6" t="inlineStr">
        <is>
          <t>R$ 3.000.000,00 x [50% B2B x (1 - e·s)(1 - e·(1-s)) + 50% B2C x (1 - e·(1-s)) / (1 + 15,88%)] + créditos</t>
        </is>
      </c>
      <c r="D556" s="7" t="n">
        <v>2398405.136220086</v>
      </c>
      <c r="E556" s="6" t="inlineStr">
        <is>
          <t>LC 214/2025; LC 123/2006 (opção pelo regime regular de IBS/CBS)</t>
        </is>
      </c>
    </row>
    <row r="557">
      <c r="A557" s="5" t="inlineStr">
        <is>
          <t>AU1-PF</t>
        </is>
      </c>
      <c r="B557" s="6" t="inlineStr">
        <is>
          <t>INSS contribuinte individual</t>
        </is>
      </c>
      <c r="C557" s="6" t="inlineStr">
        <is>
          <t>20% x mín(R$ 6.000,00; teto R$ 8.475,55)</t>
        </is>
      </c>
      <c r="D557" s="7" t="n">
        <v>1200</v>
      </c>
      <c r="E557" s="6" t="inlineStr">
        <is>
          <t>Lei 8.212/1991, art. 21</t>
        </is>
      </c>
    </row>
    <row r="558">
      <c r="A558" s="5" t="inlineStr">
        <is>
          <t>AU1-PF</t>
        </is>
      </c>
      <c r="B558" s="6" t="inlineStr">
        <is>
          <t>Dedução aplicada</t>
        </is>
      </c>
      <c r="C558" s="6" t="inlineStr">
        <is>
          <t>maior entre deduções legais R$ 1.200,00 e desconto simplificado R$ 607,20</t>
        </is>
      </c>
      <c r="D558" s="7" t="n">
        <v>1200</v>
      </c>
      <c r="E558" s="6" t="inlineStr">
        <is>
          <t>Lei 9.250/1995, art. 4º; Lei 15.191/2025</t>
        </is>
      </c>
    </row>
    <row r="559">
      <c r="A559" s="5" t="inlineStr">
        <is>
          <t>AU1-PF</t>
        </is>
      </c>
      <c r="B559" s="6" t="inlineStr">
        <is>
          <t>Base de cálculo</t>
        </is>
      </c>
      <c r="C559" s="6" t="inlineStr">
        <is>
          <t>R$ 6.000,00 - R$ 1.200,00</t>
        </is>
      </c>
      <c r="D559" s="7" t="n">
        <v>4800</v>
      </c>
      <c r="E559" s="6" t="inlineStr"/>
    </row>
    <row r="560">
      <c r="A560" s="5" t="inlineStr">
        <is>
          <t>AU1-PF</t>
        </is>
      </c>
      <c r="B560" s="6" t="inlineStr">
        <is>
          <t>Imposto pela tabela progressiva</t>
        </is>
      </c>
      <c r="C560" s="6" t="inlineStr">
        <is>
          <t>R$ 4.800,00 x 27,5% - R$ 908,73</t>
        </is>
      </c>
      <c r="D560" s="7" t="n">
        <v>411.27</v>
      </c>
      <c r="E560" s="6" t="inlineStr">
        <is>
          <t>Lei 15.191/2025 (tabela) + Lei 15.270/2025 (redução)</t>
        </is>
      </c>
    </row>
    <row r="561">
      <c r="A561" s="5" t="inlineStr">
        <is>
          <t>AU1-PF</t>
        </is>
      </c>
      <c r="B561" s="6" t="inlineStr">
        <is>
          <t>Redução Lei 15.270/2025</t>
        </is>
      </c>
      <c r="C561" s="6" t="inlineStr">
        <is>
          <t>R$ 978,62 - 0.133145 x R$ 6.000,00</t>
        </is>
      </c>
      <c r="D561" s="7" t="n">
        <v>179.75</v>
      </c>
      <c r="E561" s="6" t="inlineStr">
        <is>
          <t>Lei 15.270/2025</t>
        </is>
      </c>
    </row>
    <row r="562">
      <c r="A562" s="5" t="inlineStr">
        <is>
          <t>AU1-MEI</t>
        </is>
      </c>
      <c r="B562" s="6" t="inlineStr">
        <is>
          <t>INSS do MEI</t>
        </is>
      </c>
      <c r="C562" s="6" t="inlineStr">
        <is>
          <t>5% x salário mínimo R$ 1.621,00</t>
        </is>
      </c>
      <c r="D562" s="7" t="n">
        <v>81.05</v>
      </c>
      <c r="E562" s="6" t="inlineStr">
        <is>
          <t>LC 123/2006, art. 18-A</t>
        </is>
      </c>
    </row>
    <row r="563">
      <c r="A563" s="5" t="inlineStr">
        <is>
          <t>AU1-MEI</t>
        </is>
      </c>
      <c r="B563" s="6" t="inlineStr">
        <is>
          <t>ISS fixo</t>
        </is>
      </c>
      <c r="C563" s="6" t="inlineStr">
        <is>
          <t>valor fixo mensal</t>
        </is>
      </c>
      <c r="D563" s="7" t="n">
        <v>5</v>
      </c>
      <c r="E563" s="6" t="inlineStr">
        <is>
          <t>LC 123/2006, art. 18-A, §3º</t>
        </is>
      </c>
    </row>
    <row r="564">
      <c r="A564" s="5" t="inlineStr">
        <is>
          <t>AU1-SN</t>
        </is>
      </c>
      <c r="B564" s="6" t="inlineStr">
        <is>
          <t>Fator R (folha 12 meses / RBT12)</t>
        </is>
      </c>
      <c r="C564" s="6" t="inlineStr">
        <is>
          <t>R$ 20.160,12 (salários + pró-labore + FGTS 8%) / R$ 72.000,00 = 28,00% -&gt; Anexo III</t>
        </is>
      </c>
      <c r="D564" s="19" t="n">
        <v>0.2800016666666666</v>
      </c>
      <c r="E564" s="6" t="inlineStr">
        <is>
          <t>LC 123/2006, art. 18, §5º-J, §5º-M e §24</t>
        </is>
      </c>
    </row>
    <row r="565">
      <c r="A565" s="5" t="inlineStr">
        <is>
          <t>AU1-SN</t>
        </is>
      </c>
      <c r="B565" s="6" t="inlineStr">
        <is>
          <t>Alíquota efetiva - Anexo III, 1ª faixa</t>
        </is>
      </c>
      <c r="C565" s="6" t="inlineStr">
        <is>
          <t>(R$ 72.000,00 x 6,00% - R$ 0,00) / R$ 72.000,00 = 6,0000%</t>
        </is>
      </c>
      <c r="D565" s="19" t="n">
        <v>0.06</v>
      </c>
      <c r="E565" s="6" t="inlineStr">
        <is>
          <t>LC 123/2006, art. 18, §1º e §1º-A</t>
        </is>
      </c>
    </row>
    <row r="566">
      <c r="A566" s="5" t="inlineStr">
        <is>
          <t>AU1-SN</t>
        </is>
      </c>
      <c r="B566" s="6" t="inlineStr">
        <is>
          <t>DAS anual</t>
        </is>
      </c>
      <c r="C566" s="6" t="inlineStr">
        <is>
          <t>R$ 72.000,00 x 6,0000%</t>
        </is>
      </c>
      <c r="D566" s="7" t="n">
        <v>4320</v>
      </c>
      <c r="E566" s="6" t="inlineStr">
        <is>
          <t>LC 123/2006, art. 13</t>
        </is>
      </c>
    </row>
    <row r="567">
      <c r="A567" s="5" t="inlineStr">
        <is>
          <t>AU1-SN</t>
        </is>
      </c>
      <c r="B567" s="6" t="inlineStr">
        <is>
          <t>DAS mensal</t>
        </is>
      </c>
      <c r="C567" s="6" t="inlineStr">
        <is>
          <t>R$ 4.320,00 / 12</t>
        </is>
      </c>
      <c r="D567" s="7" t="n">
        <v>360</v>
      </c>
      <c r="E567" s="6" t="inlineStr"/>
    </row>
    <row r="568">
      <c r="A568" s="5" t="inlineStr">
        <is>
          <t>AU1-SN</t>
        </is>
      </c>
      <c r="B568" s="6" t="inlineStr">
        <is>
          <t>INSS do sócio</t>
        </is>
      </c>
      <c r="C568" s="6" t="inlineStr">
        <is>
          <t>R$ 1.680,01 x 11%</t>
        </is>
      </c>
      <c r="D568" s="7" t="n">
        <v>184.8</v>
      </c>
      <c r="E568" s="6" t="inlineStr">
        <is>
          <t>Lei 8.212/1991, art. 21</t>
        </is>
      </c>
    </row>
    <row r="569">
      <c r="A569" s="5" t="inlineStr">
        <is>
          <t>AU1-LP</t>
        </is>
      </c>
      <c r="B569" s="6" t="inlineStr">
        <is>
          <t>Percentuais de presunção</t>
        </is>
      </c>
      <c r="C569" s="6" t="inlineStr">
        <is>
          <t>Prestação de serviços em geral: IRPJ 32,0%, CSLL 32,0%</t>
        </is>
      </c>
      <c r="D569" s="19" t="n">
        <v>0.32</v>
      </c>
      <c r="E569" s="6" t="inlineStr">
        <is>
          <t>Lei 9.249/1995, art. 15, §1º e art. 20</t>
        </is>
      </c>
    </row>
    <row r="570">
      <c r="A570" s="5" t="inlineStr">
        <is>
          <t>AU1-LP</t>
        </is>
      </c>
      <c r="B570" s="6" t="inlineStr">
        <is>
          <t>1º tri - base presumida IRPJ</t>
        </is>
      </c>
      <c r="C570" s="6" t="inlineStr">
        <is>
          <t>R$ 18.000,00 x 32,0%</t>
        </is>
      </c>
      <c r="D570" s="7" t="n">
        <v>5760</v>
      </c>
      <c r="E570" s="6" t="inlineStr">
        <is>
          <t>Lei 9.249/1995, arts. 15 e 20</t>
        </is>
      </c>
    </row>
    <row r="571">
      <c r="A571" s="5" t="inlineStr">
        <is>
          <t>AU1-LP</t>
        </is>
      </c>
      <c r="B571" s="6" t="inlineStr">
        <is>
          <t>1º tri - IRPJ</t>
        </is>
      </c>
      <c r="C571" s="6" t="inlineStr">
        <is>
          <t>R$ 5.760,00 x 15% + adicional 10% sobre o que exceder R$ 60.000,00</t>
        </is>
      </c>
      <c r="D571" s="7" t="n">
        <v>864</v>
      </c>
      <c r="E571" s="6" t="inlineStr">
        <is>
          <t>Lei 9.430/1996, arts. 3º e 4º</t>
        </is>
      </c>
    </row>
    <row r="572">
      <c r="A572" s="5" t="inlineStr">
        <is>
          <t>AU1-LP</t>
        </is>
      </c>
      <c r="B572" s="6" t="inlineStr">
        <is>
          <t>1º tri - base presumida CSLL</t>
        </is>
      </c>
      <c r="C572" s="6" t="inlineStr">
        <is>
          <t>R$ 18.000,00 x 32,0%</t>
        </is>
      </c>
      <c r="D572" s="7" t="n">
        <v>5760</v>
      </c>
      <c r="E572" s="6" t="inlineStr">
        <is>
          <t>Lei 9.249/1995, arts. 15 e 20</t>
        </is>
      </c>
    </row>
    <row r="573">
      <c r="A573" s="5" t="inlineStr">
        <is>
          <t>AU1-LP</t>
        </is>
      </c>
      <c r="B573" s="6" t="inlineStr">
        <is>
          <t>1º tri - CSLL</t>
        </is>
      </c>
      <c r="C573" s="6" t="inlineStr">
        <is>
          <t>R$ 5.760,00 x 9%</t>
        </is>
      </c>
      <c r="D573" s="7" t="n">
        <v>518.4</v>
      </c>
      <c r="E573" s="6" t="inlineStr">
        <is>
          <t>Lei 7.689/1988, art. 3º</t>
        </is>
      </c>
    </row>
    <row r="574">
      <c r="A574" s="5" t="inlineStr">
        <is>
          <t>AU1-LP</t>
        </is>
      </c>
      <c r="B574" s="6" t="inlineStr">
        <is>
          <t>2º tri - base presumida IRPJ</t>
        </is>
      </c>
      <c r="C574" s="6" t="inlineStr">
        <is>
          <t>R$ 18.000,00 x 32,0%</t>
        </is>
      </c>
      <c r="D574" s="7" t="n">
        <v>5760</v>
      </c>
      <c r="E574" s="6" t="inlineStr">
        <is>
          <t>Lei 9.249/1995, arts. 15 e 20</t>
        </is>
      </c>
    </row>
    <row r="575">
      <c r="A575" s="5" t="inlineStr">
        <is>
          <t>AU1-LP</t>
        </is>
      </c>
      <c r="B575" s="6" t="inlineStr">
        <is>
          <t>2º tri - IRPJ</t>
        </is>
      </c>
      <c r="C575" s="6" t="inlineStr">
        <is>
          <t>R$ 5.760,00 x 15% + adicional 10% sobre o que exceder R$ 60.000,00</t>
        </is>
      </c>
      <c r="D575" s="7" t="n">
        <v>864</v>
      </c>
      <c r="E575" s="6" t="inlineStr">
        <is>
          <t>Lei 9.430/1996, arts. 3º e 4º</t>
        </is>
      </c>
    </row>
    <row r="576">
      <c r="A576" s="5" t="inlineStr">
        <is>
          <t>AU1-LP</t>
        </is>
      </c>
      <c r="B576" s="6" t="inlineStr">
        <is>
          <t>2º tri - base presumida CSLL</t>
        </is>
      </c>
      <c r="C576" s="6" t="inlineStr">
        <is>
          <t>R$ 18.000,00 x 32,0%</t>
        </is>
      </c>
      <c r="D576" s="7" t="n">
        <v>5760</v>
      </c>
      <c r="E576" s="6" t="inlineStr">
        <is>
          <t>Lei 9.249/1995, arts. 15 e 20</t>
        </is>
      </c>
    </row>
    <row r="577">
      <c r="A577" s="5" t="inlineStr">
        <is>
          <t>AU1-LP</t>
        </is>
      </c>
      <c r="B577" s="6" t="inlineStr">
        <is>
          <t>2º tri - CSLL</t>
        </is>
      </c>
      <c r="C577" s="6" t="inlineStr">
        <is>
          <t>R$ 5.760,00 x 9%</t>
        </is>
      </c>
      <c r="D577" s="7" t="n">
        <v>518.4</v>
      </c>
      <c r="E577" s="6" t="inlineStr">
        <is>
          <t>Lei 7.689/1988, art. 3º</t>
        </is>
      </c>
    </row>
    <row r="578">
      <c r="A578" s="5" t="inlineStr">
        <is>
          <t>AU1-LP</t>
        </is>
      </c>
      <c r="B578" s="6" t="inlineStr">
        <is>
          <t>3º tri - base presumida IRPJ</t>
        </is>
      </c>
      <c r="C578" s="6" t="inlineStr">
        <is>
          <t>R$ 18.000,00 x 32,0%</t>
        </is>
      </c>
      <c r="D578" s="7" t="n">
        <v>5760</v>
      </c>
      <c r="E578" s="6" t="inlineStr">
        <is>
          <t>Lei 9.249/1995, arts. 15 e 20</t>
        </is>
      </c>
    </row>
    <row r="579">
      <c r="A579" s="5" t="inlineStr">
        <is>
          <t>AU1-LP</t>
        </is>
      </c>
      <c r="B579" s="6" t="inlineStr">
        <is>
          <t>3º tri - IRPJ</t>
        </is>
      </c>
      <c r="C579" s="6" t="inlineStr">
        <is>
          <t>R$ 5.760,00 x 15% + adicional 10% sobre o que exceder R$ 60.000,00</t>
        </is>
      </c>
      <c r="D579" s="7" t="n">
        <v>864</v>
      </c>
      <c r="E579" s="6" t="inlineStr">
        <is>
          <t>Lei 9.430/1996, arts. 3º e 4º</t>
        </is>
      </c>
    </row>
    <row r="580">
      <c r="A580" s="5" t="inlineStr">
        <is>
          <t>AU1-LP</t>
        </is>
      </c>
      <c r="B580" s="6" t="inlineStr">
        <is>
          <t>3º tri - base presumida CSLL</t>
        </is>
      </c>
      <c r="C580" s="6" t="inlineStr">
        <is>
          <t>R$ 18.000,00 x 32,0%</t>
        </is>
      </c>
      <c r="D580" s="7" t="n">
        <v>5760</v>
      </c>
      <c r="E580" s="6" t="inlineStr">
        <is>
          <t>Lei 9.249/1995, arts. 15 e 20</t>
        </is>
      </c>
    </row>
    <row r="581">
      <c r="A581" s="5" t="inlineStr">
        <is>
          <t>AU1-LP</t>
        </is>
      </c>
      <c r="B581" s="6" t="inlineStr">
        <is>
          <t>3º tri - CSLL</t>
        </is>
      </c>
      <c r="C581" s="6" t="inlineStr">
        <is>
          <t>R$ 5.760,00 x 9%</t>
        </is>
      </c>
      <c r="D581" s="7" t="n">
        <v>518.4</v>
      </c>
      <c r="E581" s="6" t="inlineStr">
        <is>
          <t>Lei 7.689/1988, art. 3º</t>
        </is>
      </c>
    </row>
    <row r="582">
      <c r="A582" s="5" t="inlineStr">
        <is>
          <t>AU1-LP</t>
        </is>
      </c>
      <c r="B582" s="6" t="inlineStr">
        <is>
          <t>4º tri - base presumida IRPJ</t>
        </is>
      </c>
      <c r="C582" s="6" t="inlineStr">
        <is>
          <t>R$ 18.000,00 x 32,0%</t>
        </is>
      </c>
      <c r="D582" s="7" t="n">
        <v>5760</v>
      </c>
      <c r="E582" s="6" t="inlineStr">
        <is>
          <t>Lei 9.249/1995, arts. 15 e 20</t>
        </is>
      </c>
    </row>
    <row r="583">
      <c r="A583" s="5" t="inlineStr">
        <is>
          <t>AU1-LP</t>
        </is>
      </c>
      <c r="B583" s="6" t="inlineStr">
        <is>
          <t>4º tri - IRPJ</t>
        </is>
      </c>
      <c r="C583" s="6" t="inlineStr">
        <is>
          <t>R$ 5.760,00 x 15% + adicional 10% sobre o que exceder R$ 60.000,00</t>
        </is>
      </c>
      <c r="D583" s="7" t="n">
        <v>864</v>
      </c>
      <c r="E583" s="6" t="inlineStr">
        <is>
          <t>Lei 9.430/1996, arts. 3º e 4º</t>
        </is>
      </c>
    </row>
    <row r="584">
      <c r="A584" s="5" t="inlineStr">
        <is>
          <t>AU1-LP</t>
        </is>
      </c>
      <c r="B584" s="6" t="inlineStr">
        <is>
          <t>4º tri - base presumida CSLL</t>
        </is>
      </c>
      <c r="C584" s="6" t="inlineStr">
        <is>
          <t>R$ 18.000,00 x 32,0%</t>
        </is>
      </c>
      <c r="D584" s="7" t="n">
        <v>5760</v>
      </c>
      <c r="E584" s="6" t="inlineStr">
        <is>
          <t>Lei 9.249/1995, arts. 15 e 20</t>
        </is>
      </c>
    </row>
    <row r="585">
      <c r="A585" s="5" t="inlineStr">
        <is>
          <t>AU1-LP</t>
        </is>
      </c>
      <c r="B585" s="6" t="inlineStr">
        <is>
          <t>4º tri - CSLL</t>
        </is>
      </c>
      <c r="C585" s="6" t="inlineStr">
        <is>
          <t>R$ 5.760,00 x 9%</t>
        </is>
      </c>
      <c r="D585" s="7" t="n">
        <v>518.4</v>
      </c>
      <c r="E585" s="6" t="inlineStr">
        <is>
          <t>Lei 7.689/1988, art. 3º</t>
        </is>
      </c>
    </row>
    <row r="586">
      <c r="A586" s="5" t="inlineStr">
        <is>
          <t>AU1-LP</t>
        </is>
      </c>
      <c r="B586" s="6" t="inlineStr">
        <is>
          <t>PIS cumulativo</t>
        </is>
      </c>
      <c r="C586" s="6" t="inlineStr">
        <is>
          <t>R$ 72.000,00 x 0,65%</t>
        </is>
      </c>
      <c r="D586" s="7" t="n">
        <v>468</v>
      </c>
      <c r="E586" s="6" t="inlineStr">
        <is>
          <t>Lei 9.715/1998</t>
        </is>
      </c>
    </row>
    <row r="587">
      <c r="A587" s="5" t="inlineStr">
        <is>
          <t>AU1-LP</t>
        </is>
      </c>
      <c r="B587" s="6" t="inlineStr">
        <is>
          <t>Cofins cumulativa</t>
        </is>
      </c>
      <c r="C587" s="6" t="inlineStr">
        <is>
          <t>R$ 72.000,00 x 3,00%</t>
        </is>
      </c>
      <c r="D587" s="7" t="n">
        <v>2160</v>
      </c>
      <c r="E587" s="6" t="inlineStr">
        <is>
          <t>Lei 9.718/1998</t>
        </is>
      </c>
    </row>
    <row r="588">
      <c r="A588" s="5" t="inlineStr">
        <is>
          <t>AU1-LP</t>
        </is>
      </c>
      <c r="B588" s="6" t="inlineStr">
        <is>
          <t>ISS</t>
        </is>
      </c>
      <c r="C588" s="6" t="inlineStr">
        <is>
          <t>R$ 72.000,00 x 5,00%</t>
        </is>
      </c>
      <c r="D588" s="7" t="n">
        <v>3600</v>
      </c>
      <c r="E588" s="6" t="inlineStr">
        <is>
          <t>LC 116/2003 e lei municipal</t>
        </is>
      </c>
    </row>
    <row r="589">
      <c r="A589" s="5" t="inlineStr">
        <is>
          <t>AU1-LP</t>
        </is>
      </c>
      <c r="B589" s="6" t="inlineStr">
        <is>
          <t>INSS patronal sobre a folha CLT</t>
        </is>
      </c>
      <c r="C589" s="6" t="inlineStr">
        <is>
          <t>R$ 0,00 x (20,00% CPP + 2,00% RAT + 5,80% terceiros)</t>
        </is>
      </c>
      <c r="D589" s="7" t="n">
        <v>0</v>
      </c>
      <c r="E589" s="6" t="inlineStr">
        <is>
          <t>Lei 8.212/1991, art. 22, I e II</t>
        </is>
      </c>
    </row>
    <row r="590">
      <c r="A590" s="5" t="inlineStr">
        <is>
          <t>AU1-LP</t>
        </is>
      </c>
      <c r="B590" s="6" t="inlineStr">
        <is>
          <t>INSS patronal sobre o pró-labore</t>
        </is>
      </c>
      <c r="C590" s="6" t="inlineStr">
        <is>
          <t>R$ 19.452,00 x 20,00%</t>
        </is>
      </c>
      <c r="D590" s="7" t="n">
        <v>3890.4</v>
      </c>
      <c r="E590" s="6" t="inlineStr">
        <is>
          <t>Lei 8.212/1991, art. 22, III</t>
        </is>
      </c>
    </row>
    <row r="591">
      <c r="A591" s="5" t="inlineStr">
        <is>
          <t>AU1-LP</t>
        </is>
      </c>
      <c r="B591" s="6" t="inlineStr">
        <is>
          <t>IRPJ mensal</t>
        </is>
      </c>
      <c r="C591" s="6" t="inlineStr">
        <is>
          <t>R$ 3.456,00 / 12</t>
        </is>
      </c>
      <c r="D591" s="7" t="n">
        <v>288</v>
      </c>
      <c r="E591" s="6" t="inlineStr"/>
    </row>
    <row r="592">
      <c r="A592" s="5" t="inlineStr">
        <is>
          <t>AU1-LP</t>
        </is>
      </c>
      <c r="B592" s="6" t="inlineStr">
        <is>
          <t>CSLL mensal</t>
        </is>
      </c>
      <c r="C592" s="6" t="inlineStr">
        <is>
          <t>R$ 2.073,60 / 12</t>
        </is>
      </c>
      <c r="D592" s="7" t="n">
        <v>172.8</v>
      </c>
      <c r="E592" s="6" t="inlineStr"/>
    </row>
    <row r="593">
      <c r="A593" s="5" t="inlineStr">
        <is>
          <t>AU1-LP</t>
        </is>
      </c>
      <c r="B593" s="6" t="inlineStr">
        <is>
          <t>PIS mensal</t>
        </is>
      </c>
      <c r="C593" s="6" t="inlineStr">
        <is>
          <t>R$ 468,00 / 12</t>
        </is>
      </c>
      <c r="D593" s="7" t="n">
        <v>39</v>
      </c>
      <c r="E593" s="6" t="inlineStr"/>
    </row>
    <row r="594">
      <c r="A594" s="5" t="inlineStr">
        <is>
          <t>AU1-LP</t>
        </is>
      </c>
      <c r="B594" s="6" t="inlineStr">
        <is>
          <t>Cofins mensal</t>
        </is>
      </c>
      <c r="C594" s="6" t="inlineStr">
        <is>
          <t>R$ 2.160,00 / 12</t>
        </is>
      </c>
      <c r="D594" s="7" t="n">
        <v>180</v>
      </c>
      <c r="E594" s="6" t="inlineStr"/>
    </row>
    <row r="595">
      <c r="A595" s="5" t="inlineStr">
        <is>
          <t>AU1-LP</t>
        </is>
      </c>
      <c r="B595" s="6" t="inlineStr">
        <is>
          <t>ISS mensal</t>
        </is>
      </c>
      <c r="C595" s="6" t="inlineStr">
        <is>
          <t>R$ 3.600,00 / 12</t>
        </is>
      </c>
      <c r="D595" s="7" t="n">
        <v>300</v>
      </c>
      <c r="E595" s="6" t="inlineStr"/>
    </row>
    <row r="596">
      <c r="A596" s="5" t="inlineStr">
        <is>
          <t>AU1-LP</t>
        </is>
      </c>
      <c r="B596" s="6" t="inlineStr">
        <is>
          <t>INSS patronal mensal</t>
        </is>
      </c>
      <c r="C596" s="6" t="inlineStr">
        <is>
          <t>R$ 3.890,40 / 12</t>
        </is>
      </c>
      <c r="D596" s="7" t="n">
        <v>324.2</v>
      </c>
      <c r="E596" s="6" t="inlineStr"/>
    </row>
    <row r="597">
      <c r="A597" s="5" t="inlineStr">
        <is>
          <t>AU1-LP</t>
        </is>
      </c>
      <c r="B597" s="6" t="inlineStr">
        <is>
          <t>INSS do sócio</t>
        </is>
      </c>
      <c r="C597" s="6" t="inlineStr">
        <is>
          <t>R$ 1.621,00 x 11%</t>
        </is>
      </c>
      <c r="D597" s="7" t="n">
        <v>178.31</v>
      </c>
      <c r="E597" s="6" t="inlineStr">
        <is>
          <t>Lei 8.212/1991, art. 21</t>
        </is>
      </c>
    </row>
    <row r="598">
      <c r="A598" s="5" t="inlineStr">
        <is>
          <t>AU2-PF</t>
        </is>
      </c>
      <c r="B598" s="6" t="inlineStr">
        <is>
          <t>INSS contribuinte individual</t>
        </is>
      </c>
      <c r="C598" s="6" t="inlineStr">
        <is>
          <t>20% x mín(R$ 15.000,00; teto R$ 8.475,55)</t>
        </is>
      </c>
      <c r="D598" s="7" t="n">
        <v>1695.11</v>
      </c>
      <c r="E598" s="6" t="inlineStr">
        <is>
          <t>Lei 8.212/1991, art. 21</t>
        </is>
      </c>
    </row>
    <row r="599">
      <c r="A599" s="5" t="inlineStr">
        <is>
          <t>AU2-PF</t>
        </is>
      </c>
      <c r="B599" s="6" t="inlineStr">
        <is>
          <t>Dedução aplicada</t>
        </is>
      </c>
      <c r="C599" s="6" t="inlineStr">
        <is>
          <t>maior entre deduções legais R$ 2.695,11 e desconto simplificado R$ 607,20</t>
        </is>
      </c>
      <c r="D599" s="7" t="n">
        <v>2695.11</v>
      </c>
      <c r="E599" s="6" t="inlineStr">
        <is>
          <t>Lei 9.250/1995, art. 4º; Lei 15.191/2025</t>
        </is>
      </c>
    </row>
    <row r="600">
      <c r="A600" s="5" t="inlineStr">
        <is>
          <t>AU2-PF</t>
        </is>
      </c>
      <c r="B600" s="6" t="inlineStr">
        <is>
          <t>Base de cálculo</t>
        </is>
      </c>
      <c r="C600" s="6" t="inlineStr">
        <is>
          <t>R$ 15.000,00 - R$ 2.695,11</t>
        </is>
      </c>
      <c r="D600" s="7" t="n">
        <v>12304.89</v>
      </c>
      <c r="E600" s="6" t="inlineStr"/>
    </row>
    <row r="601">
      <c r="A601" s="5" t="inlineStr">
        <is>
          <t>AU2-PF</t>
        </is>
      </c>
      <c r="B601" s="6" t="inlineStr">
        <is>
          <t>Imposto pela tabela progressiva</t>
        </is>
      </c>
      <c r="C601" s="6" t="inlineStr">
        <is>
          <t>R$ 12.304,89 x 27,5% - R$ 908,73</t>
        </is>
      </c>
      <c r="D601" s="7" t="n">
        <v>2475.11475</v>
      </c>
      <c r="E601" s="6" t="inlineStr">
        <is>
          <t>Lei 15.191/2025 (tabela) + Lei 15.270/2025 (redução)</t>
        </is>
      </c>
    </row>
    <row r="602">
      <c r="A602" s="5" t="inlineStr">
        <is>
          <t>AU2-PF</t>
        </is>
      </c>
      <c r="B602" s="6" t="inlineStr">
        <is>
          <t>Redução Lei 15.270/2025</t>
        </is>
      </c>
      <c r="C602" s="6" t="inlineStr">
        <is>
          <t>rendimentos acima de R$ 7.350,00: sem redução</t>
        </is>
      </c>
      <c r="D602" s="7" t="n">
        <v>0</v>
      </c>
      <c r="E602" s="6" t="inlineStr">
        <is>
          <t>Lei 15.270/2025</t>
        </is>
      </c>
    </row>
    <row r="603">
      <c r="A603" s="5" t="inlineStr">
        <is>
          <t>AU2-SN</t>
        </is>
      </c>
      <c r="B603" s="6" t="inlineStr">
        <is>
          <t>Fator R (folha 12 meses / RBT12)</t>
        </is>
      </c>
      <c r="C603" s="6" t="inlineStr">
        <is>
          <t>R$ 50.400,12 (salários + pró-labore + FGTS 8%) / R$ 180.000,00 = 28,00% -&gt; Anexo III</t>
        </is>
      </c>
      <c r="D603" s="19" t="n">
        <v>0.2800006666666667</v>
      </c>
      <c r="E603" s="6" t="inlineStr">
        <is>
          <t>LC 123/2006, art. 18, §5º-J, §5º-M e §24</t>
        </is>
      </c>
    </row>
    <row r="604">
      <c r="A604" s="5" t="inlineStr">
        <is>
          <t>AU2-SN</t>
        </is>
      </c>
      <c r="B604" s="6" t="inlineStr">
        <is>
          <t>Alíquota efetiva - Anexo III, 1ª faixa</t>
        </is>
      </c>
      <c r="C604" s="6" t="inlineStr">
        <is>
          <t>(R$ 180.000,00 x 6,00% - R$ 0,00) / R$ 180.000,00 = 6,0000%</t>
        </is>
      </c>
      <c r="D604" s="19" t="n">
        <v>0.06</v>
      </c>
      <c r="E604" s="6" t="inlineStr">
        <is>
          <t>LC 123/2006, art. 18, §1º e §1º-A</t>
        </is>
      </c>
    </row>
    <row r="605">
      <c r="A605" s="5" t="inlineStr">
        <is>
          <t>AU2-SN</t>
        </is>
      </c>
      <c r="B605" s="6" t="inlineStr">
        <is>
          <t>DAS anual</t>
        </is>
      </c>
      <c r="C605" s="6" t="inlineStr">
        <is>
          <t>R$ 180.000,00 x 6,0000%</t>
        </is>
      </c>
      <c r="D605" s="7" t="n">
        <v>10800</v>
      </c>
      <c r="E605" s="6" t="inlineStr">
        <is>
          <t>LC 123/2006, art. 13</t>
        </is>
      </c>
    </row>
    <row r="606">
      <c r="A606" s="5" t="inlineStr">
        <is>
          <t>AU2-SN</t>
        </is>
      </c>
      <c r="B606" s="6" t="inlineStr">
        <is>
          <t>DAS mensal</t>
        </is>
      </c>
      <c r="C606" s="6" t="inlineStr">
        <is>
          <t>R$ 10.800,00 / 12</t>
        </is>
      </c>
      <c r="D606" s="7" t="n">
        <v>900</v>
      </c>
      <c r="E606" s="6" t="inlineStr"/>
    </row>
    <row r="607">
      <c r="A607" s="5" t="inlineStr">
        <is>
          <t>AU2-SN</t>
        </is>
      </c>
      <c r="B607" s="6" t="inlineStr">
        <is>
          <t>INSS do sócio</t>
        </is>
      </c>
      <c r="C607" s="6" t="inlineStr">
        <is>
          <t>R$ 4.200,01 x 11%</t>
        </is>
      </c>
      <c r="D607" s="7" t="n">
        <v>462</v>
      </c>
      <c r="E607" s="6" t="inlineStr">
        <is>
          <t>Lei 8.212/1991, art. 21</t>
        </is>
      </c>
    </row>
    <row r="608">
      <c r="A608" s="5" t="inlineStr">
        <is>
          <t>AU2-LP</t>
        </is>
      </c>
      <c r="B608" s="6" t="inlineStr">
        <is>
          <t>Percentuais de presunção</t>
        </is>
      </c>
      <c r="C608" s="6" t="inlineStr">
        <is>
          <t>Prestação de serviços em geral: IRPJ 32,0%, CSLL 32,0%</t>
        </is>
      </c>
      <c r="D608" s="19" t="n">
        <v>0.32</v>
      </c>
      <c r="E608" s="6" t="inlineStr">
        <is>
          <t>Lei 9.249/1995, art. 15, §1º e art. 20</t>
        </is>
      </c>
    </row>
    <row r="609">
      <c r="A609" s="5" t="inlineStr">
        <is>
          <t>AU2-LP</t>
        </is>
      </c>
      <c r="B609" s="6" t="inlineStr">
        <is>
          <t>1º tri - base presumida IRPJ</t>
        </is>
      </c>
      <c r="C609" s="6" t="inlineStr">
        <is>
          <t>R$ 45.000,00 x 32,0%</t>
        </is>
      </c>
      <c r="D609" s="7" t="n">
        <v>14400</v>
      </c>
      <c r="E609" s="6" t="inlineStr">
        <is>
          <t>Lei 9.249/1995, arts. 15 e 20</t>
        </is>
      </c>
    </row>
    <row r="610">
      <c r="A610" s="5" t="inlineStr">
        <is>
          <t>AU2-LP</t>
        </is>
      </c>
      <c r="B610" s="6" t="inlineStr">
        <is>
          <t>1º tri - IRPJ</t>
        </is>
      </c>
      <c r="C610" s="6" t="inlineStr">
        <is>
          <t>R$ 14.400,00 x 15% + adicional 10% sobre o que exceder R$ 60.000,00</t>
        </is>
      </c>
      <c r="D610" s="7" t="n">
        <v>2160</v>
      </c>
      <c r="E610" s="6" t="inlineStr">
        <is>
          <t>Lei 9.430/1996, arts. 3º e 4º</t>
        </is>
      </c>
    </row>
    <row r="611">
      <c r="A611" s="5" t="inlineStr">
        <is>
          <t>AU2-LP</t>
        </is>
      </c>
      <c r="B611" s="6" t="inlineStr">
        <is>
          <t>1º tri - base presumida CSLL</t>
        </is>
      </c>
      <c r="C611" s="6" t="inlineStr">
        <is>
          <t>R$ 45.000,00 x 32,0%</t>
        </is>
      </c>
      <c r="D611" s="7" t="n">
        <v>14400</v>
      </c>
      <c r="E611" s="6" t="inlineStr">
        <is>
          <t>Lei 9.249/1995, arts. 15 e 20</t>
        </is>
      </c>
    </row>
    <row r="612">
      <c r="A612" s="5" t="inlineStr">
        <is>
          <t>AU2-LP</t>
        </is>
      </c>
      <c r="B612" s="6" t="inlineStr">
        <is>
          <t>1º tri - CSLL</t>
        </is>
      </c>
      <c r="C612" s="6" t="inlineStr">
        <is>
          <t>R$ 14.400,00 x 9%</t>
        </is>
      </c>
      <c r="D612" s="7" t="n">
        <v>1296</v>
      </c>
      <c r="E612" s="6" t="inlineStr">
        <is>
          <t>Lei 7.689/1988, art. 3º</t>
        </is>
      </c>
    </row>
    <row r="613">
      <c r="A613" s="5" t="inlineStr">
        <is>
          <t>AU2-LP</t>
        </is>
      </c>
      <c r="B613" s="6" t="inlineStr">
        <is>
          <t>2º tri - base presumida IRPJ</t>
        </is>
      </c>
      <c r="C613" s="6" t="inlineStr">
        <is>
          <t>R$ 45.000,00 x 32,0%</t>
        </is>
      </c>
      <c r="D613" s="7" t="n">
        <v>14400</v>
      </c>
      <c r="E613" s="6" t="inlineStr">
        <is>
          <t>Lei 9.249/1995, arts. 15 e 20</t>
        </is>
      </c>
    </row>
    <row r="614">
      <c r="A614" s="5" t="inlineStr">
        <is>
          <t>AU2-LP</t>
        </is>
      </c>
      <c r="B614" s="6" t="inlineStr">
        <is>
          <t>2º tri - IRPJ</t>
        </is>
      </c>
      <c r="C614" s="6" t="inlineStr">
        <is>
          <t>R$ 14.400,00 x 15% + adicional 10% sobre o que exceder R$ 60.000,00</t>
        </is>
      </c>
      <c r="D614" s="7" t="n">
        <v>2160</v>
      </c>
      <c r="E614" s="6" t="inlineStr">
        <is>
          <t>Lei 9.430/1996, arts. 3º e 4º</t>
        </is>
      </c>
    </row>
    <row r="615">
      <c r="A615" s="5" t="inlineStr">
        <is>
          <t>AU2-LP</t>
        </is>
      </c>
      <c r="B615" s="6" t="inlineStr">
        <is>
          <t>2º tri - base presumida CSLL</t>
        </is>
      </c>
      <c r="C615" s="6" t="inlineStr">
        <is>
          <t>R$ 45.000,00 x 32,0%</t>
        </is>
      </c>
      <c r="D615" s="7" t="n">
        <v>14400</v>
      </c>
      <c r="E615" s="6" t="inlineStr">
        <is>
          <t>Lei 9.249/1995, arts. 15 e 20</t>
        </is>
      </c>
    </row>
    <row r="616">
      <c r="A616" s="5" t="inlineStr">
        <is>
          <t>AU2-LP</t>
        </is>
      </c>
      <c r="B616" s="6" t="inlineStr">
        <is>
          <t>2º tri - CSLL</t>
        </is>
      </c>
      <c r="C616" s="6" t="inlineStr">
        <is>
          <t>R$ 14.400,00 x 9%</t>
        </is>
      </c>
      <c r="D616" s="7" t="n">
        <v>1296</v>
      </c>
      <c r="E616" s="6" t="inlineStr">
        <is>
          <t>Lei 7.689/1988, art. 3º</t>
        </is>
      </c>
    </row>
    <row r="617">
      <c r="A617" s="5" t="inlineStr">
        <is>
          <t>AU2-LP</t>
        </is>
      </c>
      <c r="B617" s="6" t="inlineStr">
        <is>
          <t>3º tri - base presumida IRPJ</t>
        </is>
      </c>
      <c r="C617" s="6" t="inlineStr">
        <is>
          <t>R$ 45.000,00 x 32,0%</t>
        </is>
      </c>
      <c r="D617" s="7" t="n">
        <v>14400</v>
      </c>
      <c r="E617" s="6" t="inlineStr">
        <is>
          <t>Lei 9.249/1995, arts. 15 e 20</t>
        </is>
      </c>
    </row>
    <row r="618">
      <c r="A618" s="5" t="inlineStr">
        <is>
          <t>AU2-LP</t>
        </is>
      </c>
      <c r="B618" s="6" t="inlineStr">
        <is>
          <t>3º tri - IRPJ</t>
        </is>
      </c>
      <c r="C618" s="6" t="inlineStr">
        <is>
          <t>R$ 14.400,00 x 15% + adicional 10% sobre o que exceder R$ 60.000,00</t>
        </is>
      </c>
      <c r="D618" s="7" t="n">
        <v>2160</v>
      </c>
      <c r="E618" s="6" t="inlineStr">
        <is>
          <t>Lei 9.430/1996, arts. 3º e 4º</t>
        </is>
      </c>
    </row>
    <row r="619">
      <c r="A619" s="5" t="inlineStr">
        <is>
          <t>AU2-LP</t>
        </is>
      </c>
      <c r="B619" s="6" t="inlineStr">
        <is>
          <t>3º tri - base presumida CSLL</t>
        </is>
      </c>
      <c r="C619" s="6" t="inlineStr">
        <is>
          <t>R$ 45.000,00 x 32,0%</t>
        </is>
      </c>
      <c r="D619" s="7" t="n">
        <v>14400</v>
      </c>
      <c r="E619" s="6" t="inlineStr">
        <is>
          <t>Lei 9.249/1995, arts. 15 e 20</t>
        </is>
      </c>
    </row>
    <row r="620">
      <c r="A620" s="5" t="inlineStr">
        <is>
          <t>AU2-LP</t>
        </is>
      </c>
      <c r="B620" s="6" t="inlineStr">
        <is>
          <t>3º tri - CSLL</t>
        </is>
      </c>
      <c r="C620" s="6" t="inlineStr">
        <is>
          <t>R$ 14.400,00 x 9%</t>
        </is>
      </c>
      <c r="D620" s="7" t="n">
        <v>1296</v>
      </c>
      <c r="E620" s="6" t="inlineStr">
        <is>
          <t>Lei 7.689/1988, art. 3º</t>
        </is>
      </c>
    </row>
    <row r="621">
      <c r="A621" s="5" t="inlineStr">
        <is>
          <t>AU2-LP</t>
        </is>
      </c>
      <c r="B621" s="6" t="inlineStr">
        <is>
          <t>4º tri - base presumida IRPJ</t>
        </is>
      </c>
      <c r="C621" s="6" t="inlineStr">
        <is>
          <t>R$ 45.000,00 x 32,0%</t>
        </is>
      </c>
      <c r="D621" s="7" t="n">
        <v>14400</v>
      </c>
      <c r="E621" s="6" t="inlineStr">
        <is>
          <t>Lei 9.249/1995, arts. 15 e 20</t>
        </is>
      </c>
    </row>
    <row r="622">
      <c r="A622" s="5" t="inlineStr">
        <is>
          <t>AU2-LP</t>
        </is>
      </c>
      <c r="B622" s="6" t="inlineStr">
        <is>
          <t>4º tri - IRPJ</t>
        </is>
      </c>
      <c r="C622" s="6" t="inlineStr">
        <is>
          <t>R$ 14.400,00 x 15% + adicional 10% sobre o que exceder R$ 60.000,00</t>
        </is>
      </c>
      <c r="D622" s="7" t="n">
        <v>2160</v>
      </c>
      <c r="E622" s="6" t="inlineStr">
        <is>
          <t>Lei 9.430/1996, arts. 3º e 4º</t>
        </is>
      </c>
    </row>
    <row r="623">
      <c r="A623" s="5" t="inlineStr">
        <is>
          <t>AU2-LP</t>
        </is>
      </c>
      <c r="B623" s="6" t="inlineStr">
        <is>
          <t>4º tri - base presumida CSLL</t>
        </is>
      </c>
      <c r="C623" s="6" t="inlineStr">
        <is>
          <t>R$ 45.000,00 x 32,0%</t>
        </is>
      </c>
      <c r="D623" s="7" t="n">
        <v>14400</v>
      </c>
      <c r="E623" s="6" t="inlineStr">
        <is>
          <t>Lei 9.249/1995, arts. 15 e 20</t>
        </is>
      </c>
    </row>
    <row r="624">
      <c r="A624" s="5" t="inlineStr">
        <is>
          <t>AU2-LP</t>
        </is>
      </c>
      <c r="B624" s="6" t="inlineStr">
        <is>
          <t>4º tri - CSLL</t>
        </is>
      </c>
      <c r="C624" s="6" t="inlineStr">
        <is>
          <t>R$ 14.400,00 x 9%</t>
        </is>
      </c>
      <c r="D624" s="7" t="n">
        <v>1296</v>
      </c>
      <c r="E624" s="6" t="inlineStr">
        <is>
          <t>Lei 7.689/1988, art. 3º</t>
        </is>
      </c>
    </row>
    <row r="625">
      <c r="A625" s="5" t="inlineStr">
        <is>
          <t>AU2-LP</t>
        </is>
      </c>
      <c r="B625" s="6" t="inlineStr">
        <is>
          <t>PIS cumulativo</t>
        </is>
      </c>
      <c r="C625" s="6" t="inlineStr">
        <is>
          <t>R$ 180.000,00 x 0,65%</t>
        </is>
      </c>
      <c r="D625" s="7" t="n">
        <v>1170</v>
      </c>
      <c r="E625" s="6" t="inlineStr">
        <is>
          <t>Lei 9.715/1998</t>
        </is>
      </c>
    </row>
    <row r="626">
      <c r="A626" s="5" t="inlineStr">
        <is>
          <t>AU2-LP</t>
        </is>
      </c>
      <c r="B626" s="6" t="inlineStr">
        <is>
          <t>Cofins cumulativa</t>
        </is>
      </c>
      <c r="C626" s="6" t="inlineStr">
        <is>
          <t>R$ 180.000,00 x 3,00%</t>
        </is>
      </c>
      <c r="D626" s="7" t="n">
        <v>5400</v>
      </c>
      <c r="E626" s="6" t="inlineStr">
        <is>
          <t>Lei 9.718/1998</t>
        </is>
      </c>
    </row>
    <row r="627">
      <c r="A627" s="5" t="inlineStr">
        <is>
          <t>AU2-LP</t>
        </is>
      </c>
      <c r="B627" s="6" t="inlineStr">
        <is>
          <t>ISS</t>
        </is>
      </c>
      <c r="C627" s="6" t="inlineStr">
        <is>
          <t>R$ 180.000,00 x 5,00%</t>
        </is>
      </c>
      <c r="D627" s="7" t="n">
        <v>9000</v>
      </c>
      <c r="E627" s="6" t="inlineStr">
        <is>
          <t>LC 116/2003 e lei municipal</t>
        </is>
      </c>
    </row>
    <row r="628">
      <c r="A628" s="5" t="inlineStr">
        <is>
          <t>AU2-LP</t>
        </is>
      </c>
      <c r="B628" s="6" t="inlineStr">
        <is>
          <t>INSS patronal sobre a folha CLT</t>
        </is>
      </c>
      <c r="C628" s="6" t="inlineStr">
        <is>
          <t>R$ 0,00 x (20,00% CPP + 2,00% RAT + 5,80% terceiros)</t>
        </is>
      </c>
      <c r="D628" s="7" t="n">
        <v>0</v>
      </c>
      <c r="E628" s="6" t="inlineStr">
        <is>
          <t>Lei 8.212/1991, art. 22, I e II</t>
        </is>
      </c>
    </row>
    <row r="629">
      <c r="A629" s="5" t="inlineStr">
        <is>
          <t>AU2-LP</t>
        </is>
      </c>
      <c r="B629" s="6" t="inlineStr">
        <is>
          <t>INSS patronal sobre o pró-labore</t>
        </is>
      </c>
      <c r="C629" s="6" t="inlineStr">
        <is>
          <t>R$ 19.452,00 x 20,00%</t>
        </is>
      </c>
      <c r="D629" s="7" t="n">
        <v>3890.4</v>
      </c>
      <c r="E629" s="6" t="inlineStr">
        <is>
          <t>Lei 8.212/1991, art. 22, III</t>
        </is>
      </c>
    </row>
    <row r="630">
      <c r="A630" s="5" t="inlineStr">
        <is>
          <t>AU2-LP</t>
        </is>
      </c>
      <c r="B630" s="6" t="inlineStr">
        <is>
          <t>IRPJ mensal</t>
        </is>
      </c>
      <c r="C630" s="6" t="inlineStr">
        <is>
          <t>R$ 8.640,00 / 12</t>
        </is>
      </c>
      <c r="D630" s="7" t="n">
        <v>720</v>
      </c>
      <c r="E630" s="6" t="inlineStr"/>
    </row>
    <row r="631">
      <c r="A631" s="5" t="inlineStr">
        <is>
          <t>AU2-LP</t>
        </is>
      </c>
      <c r="B631" s="6" t="inlineStr">
        <is>
          <t>CSLL mensal</t>
        </is>
      </c>
      <c r="C631" s="6" t="inlineStr">
        <is>
          <t>R$ 5.184,00 / 12</t>
        </is>
      </c>
      <c r="D631" s="7" t="n">
        <v>432</v>
      </c>
      <c r="E631" s="6" t="inlineStr"/>
    </row>
    <row r="632">
      <c r="A632" s="5" t="inlineStr">
        <is>
          <t>AU2-LP</t>
        </is>
      </c>
      <c r="B632" s="6" t="inlineStr">
        <is>
          <t>PIS mensal</t>
        </is>
      </c>
      <c r="C632" s="6" t="inlineStr">
        <is>
          <t>R$ 1.170,00 / 12</t>
        </is>
      </c>
      <c r="D632" s="7" t="n">
        <v>97.5</v>
      </c>
      <c r="E632" s="6" t="inlineStr"/>
    </row>
    <row r="633">
      <c r="A633" s="5" t="inlineStr">
        <is>
          <t>AU2-LP</t>
        </is>
      </c>
      <c r="B633" s="6" t="inlineStr">
        <is>
          <t>Cofins mensal</t>
        </is>
      </c>
      <c r="C633" s="6" t="inlineStr">
        <is>
          <t>R$ 5.400,00 / 12</t>
        </is>
      </c>
      <c r="D633" s="7" t="n">
        <v>450</v>
      </c>
      <c r="E633" s="6" t="inlineStr"/>
    </row>
    <row r="634">
      <c r="A634" s="5" t="inlineStr">
        <is>
          <t>AU2-LP</t>
        </is>
      </c>
      <c r="B634" s="6" t="inlineStr">
        <is>
          <t>ISS mensal</t>
        </is>
      </c>
      <c r="C634" s="6" t="inlineStr">
        <is>
          <t>R$ 9.000,00 / 12</t>
        </is>
      </c>
      <c r="D634" s="7" t="n">
        <v>750</v>
      </c>
      <c r="E634" s="6" t="inlineStr"/>
    </row>
    <row r="635">
      <c r="A635" s="5" t="inlineStr">
        <is>
          <t>AU2-LP</t>
        </is>
      </c>
      <c r="B635" s="6" t="inlineStr">
        <is>
          <t>INSS patronal mensal</t>
        </is>
      </c>
      <c r="C635" s="6" t="inlineStr">
        <is>
          <t>R$ 3.890,40 / 12</t>
        </is>
      </c>
      <c r="D635" s="7" t="n">
        <v>324.2</v>
      </c>
      <c r="E635" s="6" t="inlineStr"/>
    </row>
    <row r="636">
      <c r="A636" s="5" t="inlineStr">
        <is>
          <t>AU2-LP</t>
        </is>
      </c>
      <c r="B636" s="6" t="inlineStr">
        <is>
          <t>INSS do sócio</t>
        </is>
      </c>
      <c r="C636" s="6" t="inlineStr">
        <is>
          <t>R$ 1.621,00 x 11%</t>
        </is>
      </c>
      <c r="D636" s="7" t="n">
        <v>178.31</v>
      </c>
      <c r="E636" s="6" t="inlineStr">
        <is>
          <t>Lei 8.212/1991, art. 21</t>
        </is>
      </c>
    </row>
    <row r="637">
      <c r="A637" s="5" t="inlineStr">
        <is>
          <t>AU3-PF</t>
        </is>
      </c>
      <c r="B637" s="6" t="inlineStr">
        <is>
          <t>INSS contribuinte individual</t>
        </is>
      </c>
      <c r="C637" s="6" t="inlineStr">
        <is>
          <t>20% x mín(R$ 40.000,00; teto R$ 8.475,55)</t>
        </is>
      </c>
      <c r="D637" s="7" t="n">
        <v>1695.11</v>
      </c>
      <c r="E637" s="6" t="inlineStr">
        <is>
          <t>Lei 8.212/1991, art. 21</t>
        </is>
      </c>
    </row>
    <row r="638">
      <c r="A638" s="5" t="inlineStr">
        <is>
          <t>AU3-PF</t>
        </is>
      </c>
      <c r="B638" s="6" t="inlineStr">
        <is>
          <t>Dedução aplicada</t>
        </is>
      </c>
      <c r="C638" s="6" t="inlineStr">
        <is>
          <t>maior entre deduções legais R$ 1.884,70 e desconto simplificado R$ 607,20</t>
        </is>
      </c>
      <c r="D638" s="7" t="n">
        <v>1884.7</v>
      </c>
      <c r="E638" s="6" t="inlineStr">
        <is>
          <t>Lei 9.250/1995, art. 4º; Lei 15.191/2025</t>
        </is>
      </c>
    </row>
    <row r="639">
      <c r="A639" s="5" t="inlineStr">
        <is>
          <t>AU3-PF</t>
        </is>
      </c>
      <c r="B639" s="6" t="inlineStr">
        <is>
          <t>Base de cálculo</t>
        </is>
      </c>
      <c r="C639" s="6" t="inlineStr">
        <is>
          <t>R$ 40.000,00 - R$ 1.884,70</t>
        </is>
      </c>
      <c r="D639" s="7" t="n">
        <v>38115.3</v>
      </c>
      <c r="E639" s="6" t="inlineStr"/>
    </row>
    <row r="640">
      <c r="A640" s="5" t="inlineStr">
        <is>
          <t>AU3-PF</t>
        </is>
      </c>
      <c r="B640" s="6" t="inlineStr">
        <is>
          <t>Imposto pela tabela progressiva</t>
        </is>
      </c>
      <c r="C640" s="6" t="inlineStr">
        <is>
          <t>R$ 38.115,30 x 27,5% - R$ 908,73</t>
        </is>
      </c>
      <c r="D640" s="7" t="n">
        <v>9572.977500000001</v>
      </c>
      <c r="E640" s="6" t="inlineStr">
        <is>
          <t>Lei 15.191/2025 (tabela) + Lei 15.270/2025 (redução)</t>
        </is>
      </c>
    </row>
    <row r="641">
      <c r="A641" s="5" t="inlineStr">
        <is>
          <t>AU3-PF</t>
        </is>
      </c>
      <c r="B641" s="6" t="inlineStr">
        <is>
          <t>Redução Lei 15.270/2025</t>
        </is>
      </c>
      <c r="C641" s="6" t="inlineStr">
        <is>
          <t>rendimentos acima de R$ 7.350,00: sem redução</t>
        </is>
      </c>
      <c r="D641" s="7" t="n">
        <v>0</v>
      </c>
      <c r="E641" s="6" t="inlineStr">
        <is>
          <t>Lei 15.270/2025</t>
        </is>
      </c>
    </row>
    <row r="642">
      <c r="A642" s="5" t="inlineStr">
        <is>
          <t>AU3-SN</t>
        </is>
      </c>
      <c r="B642" s="6" t="inlineStr">
        <is>
          <t>Fator R (folha 12 meses / RBT12)</t>
        </is>
      </c>
      <c r="C642" s="6" t="inlineStr">
        <is>
          <t>R$ 134.400,12 (salários + pró-labore + FGTS 8%) / R$ 480.000,00 = 28,00% -&gt; Anexo III</t>
        </is>
      </c>
      <c r="D642" s="19" t="n">
        <v>0.28000025</v>
      </c>
      <c r="E642" s="6" t="inlineStr">
        <is>
          <t>LC 123/2006, art. 18, §5º-J, §5º-M e §24</t>
        </is>
      </c>
    </row>
    <row r="643">
      <c r="A643" s="5" t="inlineStr">
        <is>
          <t>AU3-SN</t>
        </is>
      </c>
      <c r="B643" s="6" t="inlineStr">
        <is>
          <t>Alíquota efetiva - Anexo III, 3ª faixa</t>
        </is>
      </c>
      <c r="C643" s="6" t="inlineStr">
        <is>
          <t>(R$ 480.000,00 x 13,50% - R$ 17.640,00) / R$ 480.000,00 = 9,8250%</t>
        </is>
      </c>
      <c r="D643" s="19" t="n">
        <v>0.09825</v>
      </c>
      <c r="E643" s="6" t="inlineStr">
        <is>
          <t>LC 123/2006, art. 18, §1º e §1º-A</t>
        </is>
      </c>
    </row>
    <row r="644">
      <c r="A644" s="5" t="inlineStr">
        <is>
          <t>AU3-SN</t>
        </is>
      </c>
      <c r="B644" s="6" t="inlineStr">
        <is>
          <t>DAS anual</t>
        </is>
      </c>
      <c r="C644" s="6" t="inlineStr">
        <is>
          <t>R$ 480.000,00 x 9,8250%</t>
        </is>
      </c>
      <c r="D644" s="7" t="n">
        <v>47160</v>
      </c>
      <c r="E644" s="6" t="inlineStr">
        <is>
          <t>LC 123/2006, art. 13</t>
        </is>
      </c>
    </row>
    <row r="645">
      <c r="A645" s="5" t="inlineStr">
        <is>
          <t>AU3-SN</t>
        </is>
      </c>
      <c r="B645" s="6" t="inlineStr">
        <is>
          <t>DAS mensal</t>
        </is>
      </c>
      <c r="C645" s="6" t="inlineStr">
        <is>
          <t>R$ 47.160,00 / 12</t>
        </is>
      </c>
      <c r="D645" s="7" t="n">
        <v>3930</v>
      </c>
      <c r="E645" s="6" t="inlineStr"/>
    </row>
    <row r="646">
      <c r="A646" s="5" t="inlineStr">
        <is>
          <t>AU3-SN</t>
        </is>
      </c>
      <c r="B646" s="6" t="inlineStr">
        <is>
          <t>INSS do sócio</t>
        </is>
      </c>
      <c r="C646" s="6" t="inlineStr">
        <is>
          <t>R$ 11.200,01 x 11%</t>
        </is>
      </c>
      <c r="D646" s="7" t="n">
        <v>932.3099999999999</v>
      </c>
      <c r="E646" s="6" t="inlineStr">
        <is>
          <t>Lei 8.212/1991, art. 21</t>
        </is>
      </c>
    </row>
    <row r="647">
      <c r="A647" s="5" t="inlineStr">
        <is>
          <t>AU3-LP</t>
        </is>
      </c>
      <c r="B647" s="6" t="inlineStr">
        <is>
          <t>Percentuais de presunção</t>
        </is>
      </c>
      <c r="C647" s="6" t="inlineStr">
        <is>
          <t>Prestação de serviços em geral: IRPJ 32,0%, CSLL 32,0%</t>
        </is>
      </c>
      <c r="D647" s="19" t="n">
        <v>0.32</v>
      </c>
      <c r="E647" s="6" t="inlineStr">
        <is>
          <t>Lei 9.249/1995, art. 15, §1º e art. 20</t>
        </is>
      </c>
    </row>
    <row r="648">
      <c r="A648" s="5" t="inlineStr">
        <is>
          <t>AU3-LP</t>
        </is>
      </c>
      <c r="B648" s="6" t="inlineStr">
        <is>
          <t>1º tri - base presumida IRPJ</t>
        </is>
      </c>
      <c r="C648" s="6" t="inlineStr">
        <is>
          <t>R$ 120.000,00 x 32,0%</t>
        </is>
      </c>
      <c r="D648" s="7" t="n">
        <v>38400</v>
      </c>
      <c r="E648" s="6" t="inlineStr">
        <is>
          <t>Lei 9.249/1995, arts. 15 e 20</t>
        </is>
      </c>
    </row>
    <row r="649">
      <c r="A649" s="5" t="inlineStr">
        <is>
          <t>AU3-LP</t>
        </is>
      </c>
      <c r="B649" s="6" t="inlineStr">
        <is>
          <t>1º tri - IRPJ</t>
        </is>
      </c>
      <c r="C649" s="6" t="inlineStr">
        <is>
          <t>R$ 38.400,00 x 15% + adicional 10% sobre o que exceder R$ 60.000,00</t>
        </is>
      </c>
      <c r="D649" s="7" t="n">
        <v>5760</v>
      </c>
      <c r="E649" s="6" t="inlineStr">
        <is>
          <t>Lei 9.430/1996, arts. 3º e 4º</t>
        </is>
      </c>
    </row>
    <row r="650">
      <c r="A650" s="5" t="inlineStr">
        <is>
          <t>AU3-LP</t>
        </is>
      </c>
      <c r="B650" s="6" t="inlineStr">
        <is>
          <t>1º tri - base presumida CSLL</t>
        </is>
      </c>
      <c r="C650" s="6" t="inlineStr">
        <is>
          <t>R$ 120.000,00 x 32,0%</t>
        </is>
      </c>
      <c r="D650" s="7" t="n">
        <v>38400</v>
      </c>
      <c r="E650" s="6" t="inlineStr">
        <is>
          <t>Lei 9.249/1995, arts. 15 e 20</t>
        </is>
      </c>
    </row>
    <row r="651">
      <c r="A651" s="5" t="inlineStr">
        <is>
          <t>AU3-LP</t>
        </is>
      </c>
      <c r="B651" s="6" t="inlineStr">
        <is>
          <t>1º tri - CSLL</t>
        </is>
      </c>
      <c r="C651" s="6" t="inlineStr">
        <is>
          <t>R$ 38.400,00 x 9%</t>
        </is>
      </c>
      <c r="D651" s="7" t="n">
        <v>3456</v>
      </c>
      <c r="E651" s="6" t="inlineStr">
        <is>
          <t>Lei 7.689/1988, art. 3º</t>
        </is>
      </c>
    </row>
    <row r="652">
      <c r="A652" s="5" t="inlineStr">
        <is>
          <t>AU3-LP</t>
        </is>
      </c>
      <c r="B652" s="6" t="inlineStr">
        <is>
          <t>2º tri - base presumida IRPJ</t>
        </is>
      </c>
      <c r="C652" s="6" t="inlineStr">
        <is>
          <t>R$ 120.000,00 x 32,0%</t>
        </is>
      </c>
      <c r="D652" s="7" t="n">
        <v>38400</v>
      </c>
      <c r="E652" s="6" t="inlineStr">
        <is>
          <t>Lei 9.249/1995, arts. 15 e 20</t>
        </is>
      </c>
    </row>
    <row r="653">
      <c r="A653" s="5" t="inlineStr">
        <is>
          <t>AU3-LP</t>
        </is>
      </c>
      <c r="B653" s="6" t="inlineStr">
        <is>
          <t>2º tri - IRPJ</t>
        </is>
      </c>
      <c r="C653" s="6" t="inlineStr">
        <is>
          <t>R$ 38.400,00 x 15% + adicional 10% sobre o que exceder R$ 60.000,00</t>
        </is>
      </c>
      <c r="D653" s="7" t="n">
        <v>5760</v>
      </c>
      <c r="E653" s="6" t="inlineStr">
        <is>
          <t>Lei 9.430/1996, arts. 3º e 4º</t>
        </is>
      </c>
    </row>
    <row r="654">
      <c r="A654" s="5" t="inlineStr">
        <is>
          <t>AU3-LP</t>
        </is>
      </c>
      <c r="B654" s="6" t="inlineStr">
        <is>
          <t>2º tri - base presumida CSLL</t>
        </is>
      </c>
      <c r="C654" s="6" t="inlineStr">
        <is>
          <t>R$ 120.000,00 x 32,0%</t>
        </is>
      </c>
      <c r="D654" s="7" t="n">
        <v>38400</v>
      </c>
      <c r="E654" s="6" t="inlineStr">
        <is>
          <t>Lei 9.249/1995, arts. 15 e 20</t>
        </is>
      </c>
    </row>
    <row r="655">
      <c r="A655" s="5" t="inlineStr">
        <is>
          <t>AU3-LP</t>
        </is>
      </c>
      <c r="B655" s="6" t="inlineStr">
        <is>
          <t>2º tri - CSLL</t>
        </is>
      </c>
      <c r="C655" s="6" t="inlineStr">
        <is>
          <t>R$ 38.400,00 x 9%</t>
        </is>
      </c>
      <c r="D655" s="7" t="n">
        <v>3456</v>
      </c>
      <c r="E655" s="6" t="inlineStr">
        <is>
          <t>Lei 7.689/1988, art. 3º</t>
        </is>
      </c>
    </row>
    <row r="656">
      <c r="A656" s="5" t="inlineStr">
        <is>
          <t>AU3-LP</t>
        </is>
      </c>
      <c r="B656" s="6" t="inlineStr">
        <is>
          <t>3º tri - base presumida IRPJ</t>
        </is>
      </c>
      <c r="C656" s="6" t="inlineStr">
        <is>
          <t>R$ 120.000,00 x 32,0%</t>
        </is>
      </c>
      <c r="D656" s="7" t="n">
        <v>38400</v>
      </c>
      <c r="E656" s="6" t="inlineStr">
        <is>
          <t>Lei 9.249/1995, arts. 15 e 20</t>
        </is>
      </c>
    </row>
    <row r="657">
      <c r="A657" s="5" t="inlineStr">
        <is>
          <t>AU3-LP</t>
        </is>
      </c>
      <c r="B657" s="6" t="inlineStr">
        <is>
          <t>3º tri - IRPJ</t>
        </is>
      </c>
      <c r="C657" s="6" t="inlineStr">
        <is>
          <t>R$ 38.400,00 x 15% + adicional 10% sobre o que exceder R$ 60.000,00</t>
        </is>
      </c>
      <c r="D657" s="7" t="n">
        <v>5760</v>
      </c>
      <c r="E657" s="6" t="inlineStr">
        <is>
          <t>Lei 9.430/1996, arts. 3º e 4º</t>
        </is>
      </c>
    </row>
    <row r="658">
      <c r="A658" s="5" t="inlineStr">
        <is>
          <t>AU3-LP</t>
        </is>
      </c>
      <c r="B658" s="6" t="inlineStr">
        <is>
          <t>3º tri - base presumida CSLL</t>
        </is>
      </c>
      <c r="C658" s="6" t="inlineStr">
        <is>
          <t>R$ 120.000,00 x 32,0%</t>
        </is>
      </c>
      <c r="D658" s="7" t="n">
        <v>38400</v>
      </c>
      <c r="E658" s="6" t="inlineStr">
        <is>
          <t>Lei 9.249/1995, arts. 15 e 20</t>
        </is>
      </c>
    </row>
    <row r="659">
      <c r="A659" s="5" t="inlineStr">
        <is>
          <t>AU3-LP</t>
        </is>
      </c>
      <c r="B659" s="6" t="inlineStr">
        <is>
          <t>3º tri - CSLL</t>
        </is>
      </c>
      <c r="C659" s="6" t="inlineStr">
        <is>
          <t>R$ 38.400,00 x 9%</t>
        </is>
      </c>
      <c r="D659" s="7" t="n">
        <v>3456</v>
      </c>
      <c r="E659" s="6" t="inlineStr">
        <is>
          <t>Lei 7.689/1988, art. 3º</t>
        </is>
      </c>
    </row>
    <row r="660">
      <c r="A660" s="5" t="inlineStr">
        <is>
          <t>AU3-LP</t>
        </is>
      </c>
      <c r="B660" s="6" t="inlineStr">
        <is>
          <t>4º tri - base presumida IRPJ</t>
        </is>
      </c>
      <c r="C660" s="6" t="inlineStr">
        <is>
          <t>R$ 120.000,00 x 32,0%</t>
        </is>
      </c>
      <c r="D660" s="7" t="n">
        <v>38400</v>
      </c>
      <c r="E660" s="6" t="inlineStr">
        <is>
          <t>Lei 9.249/1995, arts. 15 e 20</t>
        </is>
      </c>
    </row>
    <row r="661">
      <c r="A661" s="5" t="inlineStr">
        <is>
          <t>AU3-LP</t>
        </is>
      </c>
      <c r="B661" s="6" t="inlineStr">
        <is>
          <t>4º tri - IRPJ</t>
        </is>
      </c>
      <c r="C661" s="6" t="inlineStr">
        <is>
          <t>R$ 38.400,00 x 15% + adicional 10% sobre o que exceder R$ 60.000,00</t>
        </is>
      </c>
      <c r="D661" s="7" t="n">
        <v>5760</v>
      </c>
      <c r="E661" s="6" t="inlineStr">
        <is>
          <t>Lei 9.430/1996, arts. 3º e 4º</t>
        </is>
      </c>
    </row>
    <row r="662">
      <c r="A662" s="5" t="inlineStr">
        <is>
          <t>AU3-LP</t>
        </is>
      </c>
      <c r="B662" s="6" t="inlineStr">
        <is>
          <t>4º tri - base presumida CSLL</t>
        </is>
      </c>
      <c r="C662" s="6" t="inlineStr">
        <is>
          <t>R$ 120.000,00 x 32,0%</t>
        </is>
      </c>
      <c r="D662" s="7" t="n">
        <v>38400</v>
      </c>
      <c r="E662" s="6" t="inlineStr">
        <is>
          <t>Lei 9.249/1995, arts. 15 e 20</t>
        </is>
      </c>
    </row>
    <row r="663">
      <c r="A663" s="5" t="inlineStr">
        <is>
          <t>AU3-LP</t>
        </is>
      </c>
      <c r="B663" s="6" t="inlineStr">
        <is>
          <t>4º tri - CSLL</t>
        </is>
      </c>
      <c r="C663" s="6" t="inlineStr">
        <is>
          <t>R$ 38.400,00 x 9%</t>
        </is>
      </c>
      <c r="D663" s="7" t="n">
        <v>3456</v>
      </c>
      <c r="E663" s="6" t="inlineStr">
        <is>
          <t>Lei 7.689/1988, art. 3º</t>
        </is>
      </c>
    </row>
    <row r="664">
      <c r="A664" s="5" t="inlineStr">
        <is>
          <t>AU3-LP</t>
        </is>
      </c>
      <c r="B664" s="6" t="inlineStr">
        <is>
          <t>PIS cumulativo</t>
        </is>
      </c>
      <c r="C664" s="6" t="inlineStr">
        <is>
          <t>R$ 480.000,00 x 0,65%</t>
        </is>
      </c>
      <c r="D664" s="7" t="n">
        <v>3120</v>
      </c>
      <c r="E664" s="6" t="inlineStr">
        <is>
          <t>Lei 9.715/1998</t>
        </is>
      </c>
    </row>
    <row r="665">
      <c r="A665" s="5" t="inlineStr">
        <is>
          <t>AU3-LP</t>
        </is>
      </c>
      <c r="B665" s="6" t="inlineStr">
        <is>
          <t>Cofins cumulativa</t>
        </is>
      </c>
      <c r="C665" s="6" t="inlineStr">
        <is>
          <t>R$ 480.000,00 x 3,00%</t>
        </is>
      </c>
      <c r="D665" s="7" t="n">
        <v>14400</v>
      </c>
      <c r="E665" s="6" t="inlineStr">
        <is>
          <t>Lei 9.718/1998</t>
        </is>
      </c>
    </row>
    <row r="666">
      <c r="A666" s="5" t="inlineStr">
        <is>
          <t>AU3-LP</t>
        </is>
      </c>
      <c r="B666" s="6" t="inlineStr">
        <is>
          <t>ISS</t>
        </is>
      </c>
      <c r="C666" s="6" t="inlineStr">
        <is>
          <t>R$ 480.000,00 x 5,00%</t>
        </is>
      </c>
      <c r="D666" s="7" t="n">
        <v>24000</v>
      </c>
      <c r="E666" s="6" t="inlineStr">
        <is>
          <t>LC 116/2003 e lei municipal</t>
        </is>
      </c>
    </row>
    <row r="667">
      <c r="A667" s="5" t="inlineStr">
        <is>
          <t>AU3-LP</t>
        </is>
      </c>
      <c r="B667" s="6" t="inlineStr">
        <is>
          <t>INSS patronal sobre a folha CLT</t>
        </is>
      </c>
      <c r="C667" s="6" t="inlineStr">
        <is>
          <t>R$ 0,00 x (20,00% CPP + 2,00% RAT + 5,80% terceiros)</t>
        </is>
      </c>
      <c r="D667" s="7" t="n">
        <v>0</v>
      </c>
      <c r="E667" s="6" t="inlineStr">
        <is>
          <t>Lei 8.212/1991, art. 22, I e II</t>
        </is>
      </c>
    </row>
    <row r="668">
      <c r="A668" s="5" t="inlineStr">
        <is>
          <t>AU3-LP</t>
        </is>
      </c>
      <c r="B668" s="6" t="inlineStr">
        <is>
          <t>INSS patronal sobre o pró-labore</t>
        </is>
      </c>
      <c r="C668" s="6" t="inlineStr">
        <is>
          <t>R$ 19.452,00 x 20,00%</t>
        </is>
      </c>
      <c r="D668" s="7" t="n">
        <v>3890.4</v>
      </c>
      <c r="E668" s="6" t="inlineStr">
        <is>
          <t>Lei 8.212/1991, art. 22, III</t>
        </is>
      </c>
    </row>
    <row r="669">
      <c r="A669" s="5" t="inlineStr">
        <is>
          <t>AU3-LP</t>
        </is>
      </c>
      <c r="B669" s="6" t="inlineStr">
        <is>
          <t>IRPJ mensal</t>
        </is>
      </c>
      <c r="C669" s="6" t="inlineStr">
        <is>
          <t>R$ 23.040,00 / 12</t>
        </is>
      </c>
      <c r="D669" s="7" t="n">
        <v>1920</v>
      </c>
      <c r="E669" s="6" t="inlineStr"/>
    </row>
    <row r="670">
      <c r="A670" s="5" t="inlineStr">
        <is>
          <t>AU3-LP</t>
        </is>
      </c>
      <c r="B670" s="6" t="inlineStr">
        <is>
          <t>CSLL mensal</t>
        </is>
      </c>
      <c r="C670" s="6" t="inlineStr">
        <is>
          <t>R$ 13.824,00 / 12</t>
        </is>
      </c>
      <c r="D670" s="7" t="n">
        <v>1152</v>
      </c>
      <c r="E670" s="6" t="inlineStr"/>
    </row>
    <row r="671">
      <c r="A671" s="5" t="inlineStr">
        <is>
          <t>AU3-LP</t>
        </is>
      </c>
      <c r="B671" s="6" t="inlineStr">
        <is>
          <t>PIS mensal</t>
        </is>
      </c>
      <c r="C671" s="6" t="inlineStr">
        <is>
          <t>R$ 3.120,00 / 12</t>
        </is>
      </c>
      <c r="D671" s="7" t="n">
        <v>260</v>
      </c>
      <c r="E671" s="6" t="inlineStr"/>
    </row>
    <row r="672">
      <c r="A672" s="5" t="inlineStr">
        <is>
          <t>AU3-LP</t>
        </is>
      </c>
      <c r="B672" s="6" t="inlineStr">
        <is>
          <t>Cofins mensal</t>
        </is>
      </c>
      <c r="C672" s="6" t="inlineStr">
        <is>
          <t>R$ 14.400,00 / 12</t>
        </is>
      </c>
      <c r="D672" s="7" t="n">
        <v>1200</v>
      </c>
      <c r="E672" s="6" t="inlineStr"/>
    </row>
    <row r="673">
      <c r="A673" s="5" t="inlineStr">
        <is>
          <t>AU3-LP</t>
        </is>
      </c>
      <c r="B673" s="6" t="inlineStr">
        <is>
          <t>ISS mensal</t>
        </is>
      </c>
      <c r="C673" s="6" t="inlineStr">
        <is>
          <t>R$ 24.000,00 / 12</t>
        </is>
      </c>
      <c r="D673" s="7" t="n">
        <v>2000</v>
      </c>
      <c r="E673" s="6" t="inlineStr"/>
    </row>
    <row r="674">
      <c r="A674" s="5" t="inlineStr">
        <is>
          <t>AU3-LP</t>
        </is>
      </c>
      <c r="B674" s="6" t="inlineStr">
        <is>
          <t>INSS patronal mensal</t>
        </is>
      </c>
      <c r="C674" s="6" t="inlineStr">
        <is>
          <t>R$ 3.890,40 / 12</t>
        </is>
      </c>
      <c r="D674" s="7" t="n">
        <v>324.2</v>
      </c>
      <c r="E674" s="6" t="inlineStr"/>
    </row>
    <row r="675">
      <c r="A675" s="5" t="inlineStr">
        <is>
          <t>AU3-LP</t>
        </is>
      </c>
      <c r="B675" s="6" t="inlineStr">
        <is>
          <t>INSS do sócio</t>
        </is>
      </c>
      <c r="C675" s="6" t="inlineStr">
        <is>
          <t>R$ 1.621,00 x 11%</t>
        </is>
      </c>
      <c r="D675" s="7" t="n">
        <v>178.31</v>
      </c>
      <c r="E675" s="6" t="inlineStr">
        <is>
          <t>Lei 8.212/1991, art. 21</t>
        </is>
      </c>
    </row>
    <row r="676">
      <c r="A676" s="5" t="inlineStr">
        <is>
          <t>REC1</t>
        </is>
      </c>
      <c r="B676" s="6" t="inlineStr">
        <is>
          <t>Venda de itens monofásicos (provável)</t>
        </is>
      </c>
      <c r="C676" s="6" t="inlineStr">
        <is>
          <t>soma dos itens com CST PIS 04 ou NCM da lista</t>
        </is>
      </c>
      <c r="D676" s="7" t="n">
        <v>10000</v>
      </c>
      <c r="E676" s="6" t="inlineStr">
        <is>
          <t>LC 123/2006, art. 18, §4º-A, I; Res. CGSN 140/2018, art. 25</t>
        </is>
      </c>
    </row>
    <row r="677">
      <c r="A677" s="5" t="inlineStr">
        <is>
          <t>REC1</t>
        </is>
      </c>
      <c r="B677" s="6" t="inlineStr">
        <is>
          <t>Venda de itens com ICMS-ST (provável)</t>
        </is>
      </c>
      <c r="C677" s="6" t="inlineStr">
        <is>
          <t>soma dos itens com CSOSN 500/201/202/203, CST 10/30/60/70 ou CFOP de ST</t>
        </is>
      </c>
      <c r="D677" s="7" t="n">
        <v>20000</v>
      </c>
      <c r="E677" s="6" t="inlineStr">
        <is>
          <t>LC 123/2006, art. 13, §1º, XIII, a, e art. 18, §4º-A, I; Res. CGSN 140/2018, art. 25</t>
        </is>
      </c>
    </row>
    <row r="678">
      <c r="A678" s="5" t="inlineStr">
        <is>
          <t>REC1</t>
        </is>
      </c>
      <c r="B678" s="6" t="inlineStr">
        <is>
          <t>Exemplo: 01/2026 - RBT12</t>
        </is>
      </c>
      <c r="C678" s="6" t="inlineStr">
        <is>
          <t>soma da receita dos 12 meses anteriores</t>
        </is>
      </c>
      <c r="D678" s="7" t="n">
        <v>1200000</v>
      </c>
      <c r="E678" s="6" t="inlineStr">
        <is>
          <t>LC 123/2006, art. 3º, §§ 1º e 2º, e art. 18, §1º</t>
        </is>
      </c>
    </row>
    <row r="679">
      <c r="A679" s="5" t="inlineStr">
        <is>
          <t>REC1</t>
        </is>
      </c>
      <c r="B679" s="6" t="inlineStr">
        <is>
          <t>Exemplo: 01/2026 - alíquota efetiva (faixa 4)</t>
        </is>
      </c>
      <c r="C679" s="6" t="inlineStr">
        <is>
          <t>(RBT12 x alíquota nominal - parcela a deduzir) / RBT12</t>
        </is>
      </c>
      <c r="D679" s="7" t="n">
        <v>0.08825</v>
      </c>
      <c r="E679" s="6" t="inlineStr">
        <is>
          <t>LC 123/2006, art. 18, §1º</t>
        </is>
      </c>
    </row>
    <row r="680">
      <c r="A680" s="5" t="inlineStr">
        <is>
          <t>REC1</t>
        </is>
      </c>
      <c r="B680" s="6" t="inlineStr">
        <is>
          <t>Exemplo: 01/2026 - percentual de PIS+Cofins na repartição da faixa</t>
        </is>
      </c>
      <c r="C680" s="6" t="inlineStr">
        <is>
          <t>% de PIS + % de Cofins da faixa</t>
        </is>
      </c>
      <c r="D680" s="7" t="n">
        <v>0.155</v>
      </c>
      <c r="E680" s="6" t="inlineStr">
        <is>
          <t>LC 123/2006, Anexos I e II (repartição)</t>
        </is>
      </c>
    </row>
    <row r="681">
      <c r="A681" s="5" t="inlineStr">
        <is>
          <t>REC1</t>
        </is>
      </c>
      <c r="B681" s="6" t="inlineStr">
        <is>
          <t>Exemplo: 01/2026 - percentual de ICMS na repartição da faixa</t>
        </is>
      </c>
      <c r="C681" s="6" t="inlineStr">
        <is>
          <t>% de ICMS da faixa</t>
        </is>
      </c>
      <c r="D681" s="7" t="n">
        <v>0.335</v>
      </c>
      <c r="E681" s="6" t="inlineStr">
        <is>
          <t>LC 123/2006, Anexos I e II (repartição)</t>
        </is>
      </c>
    </row>
    <row r="682">
      <c r="A682" s="5" t="inlineStr">
        <is>
          <t>REC1</t>
        </is>
      </c>
      <c r="B682" s="6" t="inlineStr">
        <is>
          <t>Exemplo: 01/2026 - PIS/Cofins pagos a mais</t>
        </is>
      </c>
      <c r="C682" s="6" t="inlineStr">
        <is>
          <t>R$ 10.000,00 x 8,8250% x 15,50%</t>
        </is>
      </c>
      <c r="D682" s="7" t="n">
        <v>136.79</v>
      </c>
      <c r="E682" s="6" t="inlineStr">
        <is>
          <t>LC 123/2006, art. 18, §4º-A, I; Res. CGSN 140/2018, art. 25</t>
        </is>
      </c>
    </row>
    <row r="683">
      <c r="A683" s="5" t="inlineStr">
        <is>
          <t>REC1</t>
        </is>
      </c>
      <c r="B683" s="6" t="inlineStr">
        <is>
          <t>Exemplo: 01/2026 - ICMS pago a mais</t>
        </is>
      </c>
      <c r="C683" s="6" t="inlineStr">
        <is>
          <t>R$ 20.000,00 x 8,8250% x 33,50%</t>
        </is>
      </c>
      <c r="D683" s="7" t="n">
        <v>591.28</v>
      </c>
      <c r="E683" s="6" t="inlineStr">
        <is>
          <t>LC 123/2006, art. 13, §1º, XIII, a, e art. 18, §4º-A, I; Res. CGSN 140/2018, art. 25</t>
        </is>
      </c>
    </row>
    <row r="684">
      <c r="A684" s="5" t="inlineStr">
        <is>
          <t>REC1</t>
        </is>
      </c>
      <c r="B684" s="6" t="inlineStr">
        <is>
          <t>PIS/Cofins pagos a mais no período</t>
        </is>
      </c>
      <c r="C684" s="6" t="inlineStr">
        <is>
          <t>soma dos meses</t>
        </is>
      </c>
      <c r="D684" s="7" t="n">
        <v>136.79</v>
      </c>
      <c r="E684" s="6" t="inlineStr">
        <is>
          <t>LC 123/2006, art. 18, §4º-A, I; Res. CGSN 140/2018, art. 25</t>
        </is>
      </c>
    </row>
    <row r="685">
      <c r="A685" s="5" t="inlineStr">
        <is>
          <t>REC1</t>
        </is>
      </c>
      <c r="B685" s="6" t="inlineStr">
        <is>
          <t>ICMS pago a mais no período</t>
        </is>
      </c>
      <c r="C685" s="6" t="inlineStr">
        <is>
          <t>soma dos meses</t>
        </is>
      </c>
      <c r="D685" s="7" t="n">
        <v>591.28</v>
      </c>
      <c r="E685" s="6" t="inlineStr">
        <is>
          <t>LC 123/2006, art. 13, §1º, XIII, a, e art. 18, §4º-A, I; Res. CGSN 140/2018, art. 25</t>
        </is>
      </c>
    </row>
    <row r="686">
      <c r="A686" s="5" t="inlineStr">
        <is>
          <t>REC1</t>
        </is>
      </c>
      <c r="B686" s="6" t="inlineStr">
        <is>
          <t>Economia por ano daqui para frente</t>
        </is>
      </c>
      <c r="C686" s="6" t="inlineStr">
        <is>
          <t>média mensal dos últimos 12 meses x 12</t>
        </is>
      </c>
      <c r="D686" s="7" t="n">
        <v>728.0700000000001</v>
      </c>
      <c r="E686" s="6" t="inlineStr">
        <is>
          <t>LC 123/2006, art. 18, §4º-A, I; Res. CGSN 140/2018, art. 25</t>
        </is>
      </c>
    </row>
    <row r="687">
      <c r="A687" s="5" t="inlineStr">
        <is>
          <t>REC2</t>
        </is>
      </c>
      <c r="B687" s="6" t="inlineStr">
        <is>
          <t>Venda de itens monofásicos (provável)</t>
        </is>
      </c>
      <c r="C687" s="6" t="inlineStr">
        <is>
          <t>soma dos itens com CST PIS 04 ou NCM da lista</t>
        </is>
      </c>
      <c r="D687" s="7" t="n">
        <v>10000</v>
      </c>
      <c r="E687" s="6" t="inlineStr">
        <is>
          <t>LC 123/2006, art. 18, §4º-A, I; Res. CGSN 140/2018, art. 25</t>
        </is>
      </c>
    </row>
    <row r="688">
      <c r="A688" s="5" t="inlineStr">
        <is>
          <t>REC2</t>
        </is>
      </c>
      <c r="B688" s="6" t="inlineStr">
        <is>
          <t>Venda de itens com ICMS-ST (provável)</t>
        </is>
      </c>
      <c r="C688" s="6" t="inlineStr">
        <is>
          <t>soma dos itens com CSOSN 500/201/202/203, CST 10/30/60/70 ou CFOP de ST</t>
        </is>
      </c>
      <c r="D688" s="7" t="n">
        <v>10000</v>
      </c>
      <c r="E688" s="6" t="inlineStr">
        <is>
          <t>LC 123/2006, art. 13, §1º, XIII, a, e art. 18, §4º-A, I; Res. CGSN 140/2018, art. 25</t>
        </is>
      </c>
    </row>
    <row r="689">
      <c r="A689" s="5" t="inlineStr">
        <is>
          <t>REC2</t>
        </is>
      </c>
      <c r="B689" s="6" t="inlineStr">
        <is>
          <t>Exemplo: 01/2026 - RBT12</t>
        </is>
      </c>
      <c r="C689" s="6" t="inlineStr">
        <is>
          <t>soma da receita dos 12 meses anteriores</t>
        </is>
      </c>
      <c r="D689" s="7" t="n">
        <v>4800000</v>
      </c>
      <c r="E689" s="6" t="inlineStr">
        <is>
          <t>LC 123/2006, art. 3º, §§ 1º e 2º, e art. 18, §1º</t>
        </is>
      </c>
    </row>
    <row r="690">
      <c r="A690" s="5" t="inlineStr">
        <is>
          <t>REC2</t>
        </is>
      </c>
      <c r="B690" s="6" t="inlineStr">
        <is>
          <t>Exemplo: 01/2026 - alíquota efetiva (faixa 6)</t>
        </is>
      </c>
      <c r="C690" s="6" t="inlineStr">
        <is>
          <t>(RBT12 x alíquota nominal - parcela a deduzir) / RBT12</t>
        </is>
      </c>
      <c r="D690" s="7" t="n">
        <v>0.11125</v>
      </c>
      <c r="E690" s="6" t="inlineStr">
        <is>
          <t>LC 123/2006, art. 18, §1º</t>
        </is>
      </c>
    </row>
    <row r="691">
      <c r="A691" s="5" t="inlineStr">
        <is>
          <t>REC2</t>
        </is>
      </c>
      <c r="B691" s="6" t="inlineStr">
        <is>
          <t>Exemplo: 01/2026 - percentual de PIS+Cofins na repartição da faixa</t>
        </is>
      </c>
      <c r="C691" s="6" t="inlineStr">
        <is>
          <t>% de PIS + % de Cofins da faixa</t>
        </is>
      </c>
      <c r="D691" s="7" t="n">
        <v>0.344</v>
      </c>
      <c r="E691" s="6" t="inlineStr">
        <is>
          <t>LC 123/2006, Anexos I e II (repartição)</t>
        </is>
      </c>
    </row>
    <row r="692">
      <c r="A692" s="5" t="inlineStr">
        <is>
          <t>REC2</t>
        </is>
      </c>
      <c r="B692" s="6" t="inlineStr">
        <is>
          <t>Exemplo: 01/2026 - percentual de ICMS na repartição da faixa</t>
        </is>
      </c>
      <c r="C692" s="6" t="inlineStr">
        <is>
          <t>% de ICMS da faixa</t>
        </is>
      </c>
      <c r="D692" s="7" t="n">
        <v>0</v>
      </c>
      <c r="E692" s="6" t="inlineStr">
        <is>
          <t>LC 123/2006, Anexos I e II (repartição)</t>
        </is>
      </c>
    </row>
    <row r="693">
      <c r="A693" s="5" t="inlineStr">
        <is>
          <t>REC2</t>
        </is>
      </c>
      <c r="B693" s="6" t="inlineStr">
        <is>
          <t>Exemplo: 01/2026 - PIS/Cofins pagos a mais</t>
        </is>
      </c>
      <c r="C693" s="6" t="inlineStr">
        <is>
          <t>R$ 10.000,00 x 11,1250% x 34,40%</t>
        </is>
      </c>
      <c r="D693" s="7" t="n">
        <v>382.7</v>
      </c>
      <c r="E693" s="6" t="inlineStr">
        <is>
          <t>LC 123/2006, art. 18, §4º-A, I; Res. CGSN 140/2018, art. 25</t>
        </is>
      </c>
    </row>
    <row r="694">
      <c r="A694" s="5" t="inlineStr">
        <is>
          <t>REC2</t>
        </is>
      </c>
      <c r="B694" s="6" t="inlineStr">
        <is>
          <t>Exemplo: 01/2026 - ICMS pago a mais</t>
        </is>
      </c>
      <c r="C694" s="6" t="inlineStr">
        <is>
          <t>R$ 10.000,00 x 11,1250% x 0,00%</t>
        </is>
      </c>
      <c r="D694" s="7" t="n">
        <v>0</v>
      </c>
      <c r="E694" s="6" t="inlineStr">
        <is>
          <t>LC 123/2006, art. 13, §1º, XIII, a, e art. 18, §4º-A, I; Res. CGSN 140/2018, art. 25</t>
        </is>
      </c>
    </row>
    <row r="695">
      <c r="A695" s="5" t="inlineStr">
        <is>
          <t>REC2</t>
        </is>
      </c>
      <c r="B695" s="6" t="inlineStr">
        <is>
          <t>PIS/Cofins pagos a mais no período</t>
        </is>
      </c>
      <c r="C695" s="6" t="inlineStr">
        <is>
          <t>soma dos meses</t>
        </is>
      </c>
      <c r="D695" s="7" t="n">
        <v>382.7</v>
      </c>
      <c r="E695" s="6" t="inlineStr">
        <is>
          <t>LC 123/2006, art. 18, §4º-A, I; Res. CGSN 140/2018, art. 25</t>
        </is>
      </c>
    </row>
    <row r="696">
      <c r="A696" s="5" t="inlineStr">
        <is>
          <t>REC2</t>
        </is>
      </c>
      <c r="B696" s="6" t="inlineStr">
        <is>
          <t>ICMS pago a mais no período</t>
        </is>
      </c>
      <c r="C696" s="6" t="inlineStr">
        <is>
          <t>soma dos meses</t>
        </is>
      </c>
      <c r="D696" s="7" t="n">
        <v>0</v>
      </c>
      <c r="E696" s="6" t="inlineStr">
        <is>
          <t>LC 123/2006, art. 13, §1º, XIII, a, e art. 18, §4º-A, I; Res. CGSN 140/2018, art. 25</t>
        </is>
      </c>
    </row>
    <row r="697">
      <c r="A697" s="5" t="inlineStr">
        <is>
          <t>REC2</t>
        </is>
      </c>
      <c r="B697" s="6" t="inlineStr">
        <is>
          <t>Economia por ano daqui para frente</t>
        </is>
      </c>
      <c r="C697" s="6" t="inlineStr">
        <is>
          <t>média mensal dos últimos 12 meses x 12</t>
        </is>
      </c>
      <c r="D697" s="7" t="n">
        <v>382.7</v>
      </c>
      <c r="E697" s="6" t="inlineStr">
        <is>
          <t>LC 123/2006, art. 18, §4º-A, I; Res. CGSN 140/2018, art. 25</t>
        </is>
      </c>
    </row>
    <row r="698">
      <c r="A698" s="5" t="inlineStr">
        <is>
          <t>REC3</t>
        </is>
      </c>
      <c r="B698" s="6" t="inlineStr">
        <is>
          <t>Venda de itens monofásicos (provável)</t>
        </is>
      </c>
      <c r="C698" s="6" t="inlineStr">
        <is>
          <t>soma dos itens com CST PIS 04 ou NCM da lista</t>
        </is>
      </c>
      <c r="D698" s="7" t="n">
        <v>8000</v>
      </c>
      <c r="E698" s="6" t="inlineStr">
        <is>
          <t>LC 123/2006, art. 18, §4º-A, I; Res. CGSN 140/2018, art. 25</t>
        </is>
      </c>
    </row>
    <row r="699">
      <c r="A699" s="5" t="inlineStr">
        <is>
          <t>REC3</t>
        </is>
      </c>
      <c r="B699" s="6" t="inlineStr">
        <is>
          <t>Venda de itens com ICMS-ST (provável)</t>
        </is>
      </c>
      <c r="C699" s="6" t="inlineStr">
        <is>
          <t>soma dos itens com CSOSN 500/201/202/203, CST 10/30/60/70 ou CFOP de ST</t>
        </is>
      </c>
      <c r="D699" s="7" t="n">
        <v>12000</v>
      </c>
      <c r="E699" s="6" t="inlineStr">
        <is>
          <t>LC 123/2006, art. 13, §1º, XIII, a, e art. 18, §4º-A, I; Res. CGSN 140/2018, art. 25</t>
        </is>
      </c>
    </row>
    <row r="700">
      <c r="A700" s="5" t="inlineStr">
        <is>
          <t>REC3</t>
        </is>
      </c>
      <c r="B700" s="6" t="inlineStr">
        <is>
          <t>Exemplo: 01/2026 - RBT12</t>
        </is>
      </c>
      <c r="C700" s="6" t="inlineStr">
        <is>
          <t>soma da receita dos 12 meses anteriores</t>
        </is>
      </c>
      <c r="D700" s="7" t="n">
        <v>600000</v>
      </c>
      <c r="E700" s="6" t="inlineStr">
        <is>
          <t>LC 123/2006, art. 3º, §§ 1º e 2º, e art. 18, §1º</t>
        </is>
      </c>
    </row>
    <row r="701">
      <c r="A701" s="5" t="inlineStr">
        <is>
          <t>REC3</t>
        </is>
      </c>
      <c r="B701" s="6" t="inlineStr">
        <is>
          <t>Exemplo: 01/2026 - alíquota efetiva (faixa 3)</t>
        </is>
      </c>
      <c r="C701" s="6" t="inlineStr">
        <is>
          <t>(RBT12 x alíquota nominal - parcela a deduzir) / RBT12</t>
        </is>
      </c>
      <c r="D701" s="7" t="n">
        <v>0.0769</v>
      </c>
      <c r="E701" s="6" t="inlineStr">
        <is>
          <t>LC 123/2006, art. 18, §1º</t>
        </is>
      </c>
    </row>
    <row r="702">
      <c r="A702" s="5" t="inlineStr">
        <is>
          <t>REC3</t>
        </is>
      </c>
      <c r="B702" s="6" t="inlineStr">
        <is>
          <t>Exemplo: 01/2026 - percentual de PIS+Cofins na repartição da faixa</t>
        </is>
      </c>
      <c r="C702" s="6" t="inlineStr">
        <is>
          <t>% de PIS + % de Cofins da faixa</t>
        </is>
      </c>
      <c r="D702" s="7" t="n">
        <v>0.14</v>
      </c>
      <c r="E702" s="6" t="inlineStr">
        <is>
          <t>LC 123/2006, Anexos I e II (repartição)</t>
        </is>
      </c>
    </row>
    <row r="703">
      <c r="A703" s="5" t="inlineStr">
        <is>
          <t>REC3</t>
        </is>
      </c>
      <c r="B703" s="6" t="inlineStr">
        <is>
          <t>Exemplo: 01/2026 - percentual de ICMS na repartição da faixa</t>
        </is>
      </c>
      <c r="C703" s="6" t="inlineStr">
        <is>
          <t>% de ICMS da faixa</t>
        </is>
      </c>
      <c r="D703" s="7" t="n">
        <v>0.32</v>
      </c>
      <c r="E703" s="6" t="inlineStr">
        <is>
          <t>LC 123/2006, Anexos I e II (repartição)</t>
        </is>
      </c>
    </row>
    <row r="704">
      <c r="A704" s="5" t="inlineStr">
        <is>
          <t>REC3</t>
        </is>
      </c>
      <c r="B704" s="6" t="inlineStr">
        <is>
          <t>Exemplo: 01/2026 - PIS/Cofins pagos a mais</t>
        </is>
      </c>
      <c r="C704" s="6" t="inlineStr">
        <is>
          <t>R$ 8.000,00 x 7,6900% x 14,00%</t>
        </is>
      </c>
      <c r="D704" s="7" t="n">
        <v>86.13</v>
      </c>
      <c r="E704" s="6" t="inlineStr">
        <is>
          <t>LC 123/2006, art. 18, §4º-A, I; Res. CGSN 140/2018, art. 25</t>
        </is>
      </c>
    </row>
    <row r="705">
      <c r="A705" s="5" t="inlineStr">
        <is>
          <t>REC3</t>
        </is>
      </c>
      <c r="B705" s="6" t="inlineStr">
        <is>
          <t>Exemplo: 01/2026 - ICMS pago a mais</t>
        </is>
      </c>
      <c r="C705" s="6" t="inlineStr">
        <is>
          <t>R$ 12.000,00 x 7,6900% x 32,00%</t>
        </is>
      </c>
      <c r="D705" s="7" t="n">
        <v>295.3</v>
      </c>
      <c r="E705" s="6" t="inlineStr">
        <is>
          <t>LC 123/2006, art. 13, §1º, XIII, a, e art. 18, §4º-A, I; Res. CGSN 140/2018, art. 25</t>
        </is>
      </c>
    </row>
    <row r="706">
      <c r="A706" s="5" t="inlineStr">
        <is>
          <t>REC3</t>
        </is>
      </c>
      <c r="B706" s="6" t="inlineStr">
        <is>
          <t>PIS/Cofins pagos a mais no período</t>
        </is>
      </c>
      <c r="C706" s="6" t="inlineStr">
        <is>
          <t>soma dos meses</t>
        </is>
      </c>
      <c r="D706" s="7" t="n">
        <v>86.13</v>
      </c>
      <c r="E706" s="6" t="inlineStr">
        <is>
          <t>LC 123/2006, art. 18, §4º-A, I; Res. CGSN 140/2018, art. 25</t>
        </is>
      </c>
    </row>
    <row r="707">
      <c r="A707" s="5" t="inlineStr">
        <is>
          <t>REC3</t>
        </is>
      </c>
      <c r="B707" s="6" t="inlineStr">
        <is>
          <t>ICMS pago a mais no período</t>
        </is>
      </c>
      <c r="C707" s="6" t="inlineStr">
        <is>
          <t>soma dos meses</t>
        </is>
      </c>
      <c r="D707" s="7" t="n">
        <v>295.3</v>
      </c>
      <c r="E707" s="6" t="inlineStr">
        <is>
          <t>LC 123/2006, art. 13, §1º, XIII, a, e art. 18, §4º-A, I; Res. CGSN 140/2018, art. 25</t>
        </is>
      </c>
    </row>
    <row r="708">
      <c r="A708" s="5" t="inlineStr">
        <is>
          <t>REC3</t>
        </is>
      </c>
      <c r="B708" s="6" t="inlineStr">
        <is>
          <t>Economia por ano daqui para frente</t>
        </is>
      </c>
      <c r="C708" s="6" t="inlineStr">
        <is>
          <t>média mensal dos últimos 12 meses x 12</t>
        </is>
      </c>
      <c r="D708" s="7" t="n">
        <v>381.43</v>
      </c>
      <c r="E708" s="6" t="inlineStr">
        <is>
          <t>LC 123/2006, art. 18, §4º-A, I; Res. CGSN 140/2018, art. 25</t>
        </is>
      </c>
    </row>
  </sheetData>
  <autoFilter ref="A1:E7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8"/>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ENQ1</t>
        </is>
      </c>
      <c r="B45" s="6" t="inlineStr">
        <is>
          <t>Os caminhos são alternativas: o DAS de cada um é calculado como se a empresa seguisse só aquele caminho.</t>
        </is>
      </c>
    </row>
    <row r="46">
      <c r="A46" s="6" t="inlineStr">
        <is>
          <t>ENQ1</t>
        </is>
      </c>
      <c r="B46" s="6" t="inlineStr">
        <is>
          <t>Receita no Anexo III só vale se a empresa exerce de fato a atividade, tem o CNAE no cadastro e emite a nota com ela (LC 123/2006, art. 18, §§ 4º e 5º-B). O motor só mostra o efeito no imposto; a decisão é do contador.</t>
        </is>
      </c>
    </row>
    <row r="47">
      <c r="A47" s="6" t="inlineStr">
        <is>
          <t>ENQ1</t>
        </is>
      </c>
      <c r="B47" s="6" t="inlineStr">
        <is>
          <t>O INSS do sócio (11% sobre o pró-labore a mais, dentro do teto) é custo do caminho do fator R; o IRRF não entra.</t>
        </is>
      </c>
    </row>
    <row r="48">
      <c r="A48" s="6" t="inlineStr">
        <is>
          <t>ENQ2</t>
        </is>
      </c>
      <c r="B48" s="6" t="inlineStr">
        <is>
          <t>Os caminhos são alternativas: o DAS de cada um é calculado como se a empresa seguisse só aquele caminho.</t>
        </is>
      </c>
    </row>
    <row r="49">
      <c r="A49" s="6" t="inlineStr">
        <is>
          <t>ENQ2</t>
        </is>
      </c>
      <c r="B49" s="6" t="inlineStr">
        <is>
          <t>Receita no Anexo III só vale se a empresa exerce de fato a atividade, tem o CNAE no cadastro e emite a nota com ela (LC 123/2006, art. 18, §§ 4º e 5º-B). O motor só mostra o efeito no imposto; a decisão é do contador.</t>
        </is>
      </c>
    </row>
    <row r="50">
      <c r="A50" s="6" t="inlineStr">
        <is>
          <t>ENQ2</t>
        </is>
      </c>
      <c r="B50" s="6" t="inlineStr">
        <is>
          <t>O INSS do sócio (11% sobre o pró-labore a mais, dentro do teto) é custo do caminho do fator R; o IRRF não entra.</t>
        </is>
      </c>
    </row>
    <row r="51">
      <c r="A51" s="6" t="inlineStr">
        <is>
          <t>ENQ3</t>
        </is>
      </c>
      <c r="B51" s="6" t="inlineStr">
        <is>
          <t>Os caminhos são alternativas: o DAS de cada um é calculado como se a empresa seguisse só aquele caminho.</t>
        </is>
      </c>
    </row>
    <row r="52">
      <c r="A52" s="6" t="inlineStr">
        <is>
          <t>ENQ3</t>
        </is>
      </c>
      <c r="B52" s="6" t="inlineStr">
        <is>
          <t>Receita no Anexo III só vale se a empresa exerce de fato a atividade, tem o CNAE no cadastro e emite a nota com ela (LC 123/2006, art. 18, §§ 4º e 5º-B). O motor só mostra o efeito no imposto; a decisão é do contador.</t>
        </is>
      </c>
    </row>
    <row r="53">
      <c r="A53" s="6" t="inlineStr">
        <is>
          <t>ENQ3</t>
        </is>
      </c>
      <c r="B53" s="6" t="inlineStr">
        <is>
          <t>O INSS do sócio (11% sobre o pró-labore a mais, dentro do teto) é custo do caminho do fator R; o IRRF não entra.</t>
        </is>
      </c>
    </row>
    <row r="54">
      <c r="A54" s="6" t="inlineStr">
        <is>
          <t>ENQ4</t>
        </is>
      </c>
      <c r="B54" s="6" t="inlineStr">
        <is>
          <t>Os caminhos são alternativas: o DAS de cada um é calculado como se a empresa seguisse só aquele caminho.</t>
        </is>
      </c>
    </row>
    <row r="55">
      <c r="A55" s="6" t="inlineStr">
        <is>
          <t>ENQ4</t>
        </is>
      </c>
      <c r="B55" s="6" t="inlineStr">
        <is>
          <t>Receita no Anexo III só vale se a empresa exerce de fato a atividade, tem o CNAE no cadastro e emite a nota com ela (LC 123/2006, art. 18, §§ 4º e 5º-B). O motor só mostra o efeito no imposto; a decisão é do contador.</t>
        </is>
      </c>
    </row>
    <row r="56">
      <c r="A56" s="6" t="inlineStr">
        <is>
          <t>ENQ4</t>
        </is>
      </c>
      <c r="B56" s="6" t="inlineStr">
        <is>
          <t>O INSS do sócio (11% sobre o pró-labore a mais, dentro do teto) é custo do caminho do fator R; o IRRF não entra.</t>
        </is>
      </c>
    </row>
    <row r="57">
      <c r="A57" s="6" t="inlineStr">
        <is>
          <t>ENQ5</t>
        </is>
      </c>
      <c r="B57" s="6" t="inlineStr">
        <is>
          <t>Os caminhos são alternativas: o DAS de cada um é calculado como se a empresa seguisse só aquele caminho.</t>
        </is>
      </c>
    </row>
    <row r="58">
      <c r="A58" s="6" t="inlineStr">
        <is>
          <t>ENQ5</t>
        </is>
      </c>
      <c r="B58" s="6" t="inlineStr">
        <is>
          <t>Receita no Anexo III só vale se a empresa exerce de fato a atividade, tem o CNAE no cadastro e emite a nota com ela (LC 123/2006, art. 18, §§ 4º e 5º-B). O motor só mostra o efeito no imposto; a decisão é do contador.</t>
        </is>
      </c>
    </row>
    <row r="59">
      <c r="A59" s="6" t="inlineStr">
        <is>
          <t>ENQ5</t>
        </is>
      </c>
      <c r="B59" s="6" t="inlineStr">
        <is>
          <t>O INSS do sócio (11% sobre o pró-labore a mais, dentro do teto) é custo do caminho do fator R; o IRRF não entra.</t>
        </is>
      </c>
    </row>
    <row r="60">
      <c r="A60" s="6" t="inlineStr">
        <is>
          <t>ENQ6</t>
        </is>
      </c>
      <c r="B60" s="6" t="inlineStr">
        <is>
          <t>Os caminhos são alternativas: o DAS de cada um é calculado como se a empresa seguisse só aquele caminho.</t>
        </is>
      </c>
    </row>
    <row r="61">
      <c r="A61" s="6" t="inlineStr">
        <is>
          <t>ENQ6</t>
        </is>
      </c>
      <c r="B61" s="6" t="inlineStr">
        <is>
          <t>Receita no Anexo III só vale se a empresa exerce de fato a atividade, tem o CNAE no cadastro e emite a nota com ela (LC 123/2006, art. 18, §§ 4º e 5º-B). O motor só mostra o efeito no imposto; a decisão é do contador.</t>
        </is>
      </c>
    </row>
    <row r="62">
      <c r="A62" s="6" t="inlineStr">
        <is>
          <t>ENQ6</t>
        </is>
      </c>
      <c r="B62" s="6" t="inlineStr">
        <is>
          <t>O INSS do sócio (11% sobre o pró-labore a mais, dentro do teto) é custo do caminho do fator R; o IRRF não entra.</t>
        </is>
      </c>
    </row>
    <row r="63">
      <c r="A63" s="6" t="inlineStr">
        <is>
          <t>SR4-2028</t>
        </is>
      </c>
      <c r="B6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4">
      <c r="A64" s="6" t="inlineStr">
        <is>
          <t>SR4-2028</t>
        </is>
      </c>
      <c r="B6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5">
      <c r="A65" s="6" t="inlineStr">
        <is>
          <t>SR4-2029</t>
        </is>
      </c>
      <c r="B6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6">
      <c r="A66" s="6" t="inlineStr">
        <is>
          <t>SR4-2029</t>
        </is>
      </c>
      <c r="B6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7">
      <c r="A67" s="6" t="inlineStr">
        <is>
          <t>SR4-2030</t>
        </is>
      </c>
      <c r="B6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68">
      <c r="A68" s="6" t="inlineStr">
        <is>
          <t>SR4-2030</t>
        </is>
      </c>
      <c r="B6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69">
      <c r="A69" s="6" t="inlineStr">
        <is>
          <t>SR4-2031</t>
        </is>
      </c>
      <c r="B6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0">
      <c r="A70" s="6" t="inlineStr">
        <is>
          <t>SR4-2031</t>
        </is>
      </c>
      <c r="B7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1">
      <c r="A71" s="6" t="inlineStr">
        <is>
          <t>SR4-2032</t>
        </is>
      </c>
      <c r="B7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2">
      <c r="A72" s="6" t="inlineStr">
        <is>
          <t>SR4-2032</t>
        </is>
      </c>
      <c r="B7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3">
      <c r="A73" s="6" t="inlineStr">
        <is>
          <t>SR5-2029</t>
        </is>
      </c>
      <c r="B7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4">
      <c r="A74" s="6" t="inlineStr">
        <is>
          <t>SR5-2029</t>
        </is>
      </c>
      <c r="B7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5">
      <c r="A75" s="6" t="inlineStr">
        <is>
          <t>SR5-2031</t>
        </is>
      </c>
      <c r="B7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6">
      <c r="A76" s="6" t="inlineStr">
        <is>
          <t>SR5-2031</t>
        </is>
      </c>
      <c r="B7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7">
      <c r="A77" s="6" t="inlineStr">
        <is>
          <t>SR6-2028</t>
        </is>
      </c>
      <c r="B7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8">
      <c r="A78" s="6" t="inlineStr">
        <is>
          <t>SR6-2028</t>
        </is>
      </c>
      <c r="B7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79">
      <c r="A79" s="6" t="inlineStr">
        <is>
          <t>SR6-2029</t>
        </is>
      </c>
      <c r="B7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0">
      <c r="A80" s="6" t="inlineStr">
        <is>
          <t>SR6-2029</t>
        </is>
      </c>
      <c r="B8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1">
      <c r="A81" s="6" t="inlineStr">
        <is>
          <t>SR6-2032</t>
        </is>
      </c>
      <c r="B8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2">
      <c r="A82" s="6" t="inlineStr">
        <is>
          <t>SR6-2032</t>
        </is>
      </c>
      <c r="B8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3">
      <c r="A83" s="6" t="inlineStr">
        <is>
          <t>AU1-PF</t>
        </is>
      </c>
      <c r="B83" s="6" t="inlineStr">
        <is>
          <t>Quem presta serviço a empresas tem 11% de INSS retido e a empresa paga mais 20% (custo para o cliente).</t>
        </is>
      </c>
    </row>
    <row r="84">
      <c r="A84" s="6" t="inlineStr">
        <is>
          <t>AU1-MEI</t>
        </is>
      </c>
      <c r="B84" s="6" t="inlineStr">
        <is>
          <t>O lucro do MEI acima da parcela isenta (receita x 32% em serviços, 8% em comércio, ou o lucro escriturado) entra na declaração anual de IRPF.</t>
        </is>
      </c>
    </row>
    <row r="85">
      <c r="A85" s="6" t="inlineStr">
        <is>
          <t>AU1-SN</t>
        </is>
      </c>
      <c r="B8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86">
      <c r="A86" s="6" t="inlineStr">
        <is>
          <t>AU1-SN</t>
        </is>
      </c>
      <c r="B86" s="6" t="inlineStr">
        <is>
          <t>Estimativa com faturamento mensal constante; o DAS real varia mês a mês com o RBT12.</t>
        </is>
      </c>
    </row>
    <row r="87">
      <c r="A87" s="6" t="inlineStr">
        <is>
          <t>AU1-SN</t>
        </is>
      </c>
      <c r="B87" s="6" t="inlineStr">
        <is>
          <t>Comparados pró-labore mínimo e pró-labore para fator R de 28%; escolhido: Anexo III, pró-labore de R$ 1.680,01.</t>
        </is>
      </c>
    </row>
    <row r="88">
      <c r="A88" s="6" t="inlineStr">
        <is>
          <t>AU2-PF</t>
        </is>
      </c>
      <c r="B88" s="6" t="inlineStr">
        <is>
          <t>Livro-caixa só é dedutível para quem recebe de pessoas físicas e escritura as despesas; substitui o desconto simplificado quando for maior.</t>
        </is>
      </c>
    </row>
    <row r="89">
      <c r="A89" s="6" t="inlineStr">
        <is>
          <t>AU2-PF</t>
        </is>
      </c>
      <c r="B89" s="6" t="inlineStr">
        <is>
          <t>Quem presta serviço a empresas tem 11% de INSS retido e a empresa paga mais 20% (custo para o cliente).</t>
        </is>
      </c>
    </row>
    <row r="90">
      <c r="A90" s="6" t="inlineStr">
        <is>
          <t>AU2-SN</t>
        </is>
      </c>
      <c r="B9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91">
      <c r="A91" s="6" t="inlineStr">
        <is>
          <t>AU2-SN</t>
        </is>
      </c>
      <c r="B91" s="6" t="inlineStr">
        <is>
          <t>Estimativa com faturamento mensal constante; o DAS real varia mês a mês com o RBT12.</t>
        </is>
      </c>
    </row>
    <row r="92">
      <c r="A92" s="6" t="inlineStr">
        <is>
          <t>AU2-SN</t>
        </is>
      </c>
      <c r="B92" s="6" t="inlineStr">
        <is>
          <t>Comparados pró-labore mínimo e pró-labore para fator R de 28%; escolhido: Anexo III, pró-labore de R$ 4.200,01.</t>
        </is>
      </c>
    </row>
    <row r="93">
      <c r="A93" s="6" t="inlineStr">
        <is>
          <t>AU3-PF</t>
        </is>
      </c>
      <c r="B93" s="6" t="inlineStr">
        <is>
          <t>Quem presta serviço a empresas tem 11% de INSS retido e a empresa paga mais 20% (custo para o cliente).</t>
        </is>
      </c>
    </row>
    <row r="94">
      <c r="A94" s="6" t="inlineStr">
        <is>
          <t>AU3-SN</t>
        </is>
      </c>
      <c r="B94"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95">
      <c r="A95" s="6" t="inlineStr">
        <is>
          <t>AU3-SN</t>
        </is>
      </c>
      <c r="B95" s="6" t="inlineStr">
        <is>
          <t>Estimativa com faturamento mensal constante; o DAS real varia mês a mês com o RBT12.</t>
        </is>
      </c>
    </row>
    <row r="96">
      <c r="A96" s="6" t="inlineStr">
        <is>
          <t>AU3-SN</t>
        </is>
      </c>
      <c r="B96" s="6" t="inlineStr">
        <is>
          <t>Comparados pró-labore mínimo e pró-labore para fator R de 28%; escolhido: Anexo III, pró-labore de R$ 11.200,01.</t>
        </is>
      </c>
    </row>
    <row r="97">
      <c r="A97" s="6" t="inlineStr">
        <is>
          <t>REC1</t>
        </is>
      </c>
      <c r="B97" s="6" t="inlineStr">
        <is>
          <t>Indício, não certeza: a estimativa supõe que a receita desses itens foi declarada no PGDAS-D sem segregação. Confira o que foi declarado em cada mês antes de retificar.</t>
        </is>
      </c>
    </row>
    <row r="98">
      <c r="A98" s="6" t="inlineStr">
        <is>
          <t>REC1</t>
        </is>
      </c>
      <c r="B98" s="6" t="inlineStr">
        <is>
          <t>A lista de NCM é inicial e precisa ser conferida na tabela oficial da Receita Federal; o NCM completo (subitem) define se o produto é monofásico.</t>
        </is>
      </c>
    </row>
    <row r="99">
      <c r="A99" s="6" t="inlineStr">
        <is>
          <t>REC1</t>
        </is>
      </c>
      <c r="B99" s="6" t="inlineStr">
        <is>
          <t>Valores recolhidos a maior podem ser compensados ou restituídos em até 5 anos (CTN, art. 168); o cálculo cobre apenas o período importado.</t>
        </is>
      </c>
    </row>
    <row r="100">
      <c r="A100" s="6" t="inlineStr">
        <is>
          <t>REC2</t>
        </is>
      </c>
      <c r="B100" s="6" t="inlineStr">
        <is>
          <t>Indício, não certeza: a estimativa supõe que a receita desses itens foi declarada no PGDAS-D sem segregação. Confira o que foi declarado em cada mês antes de retificar.</t>
        </is>
      </c>
    </row>
    <row r="101">
      <c r="A101" s="6" t="inlineStr">
        <is>
          <t>REC2</t>
        </is>
      </c>
      <c r="B101" s="6" t="inlineStr">
        <is>
          <t>A lista de NCM é inicial e precisa ser conferida na tabela oficial da Receita Federal; o NCM completo (subitem) define se o produto é monofásico.</t>
        </is>
      </c>
    </row>
    <row r="102">
      <c r="A102" s="6" t="inlineStr">
        <is>
          <t>REC2</t>
        </is>
      </c>
      <c r="B102" s="6" t="inlineStr">
        <is>
          <t>Em 2026-01 o ICMS já é recolhido fora do DAS (receita acima de R$ 3,6 milhões): não há economia de ICMS nesses meses.</t>
        </is>
      </c>
    </row>
    <row r="103">
      <c r="A103" s="6" t="inlineStr">
        <is>
          <t>REC2</t>
        </is>
      </c>
      <c r="B103" s="6" t="inlineStr">
        <is>
          <t>Valores recolhidos a maior podem ser compensados ou restituídos em até 5 anos (CTN, art. 168); o cálculo cobre apenas o período importado.</t>
        </is>
      </c>
    </row>
    <row r="104">
      <c r="A104" s="6" t="inlineStr">
        <is>
          <t>REC3</t>
        </is>
      </c>
      <c r="B104" s="6" t="inlineStr">
        <is>
          <t>Indício, não certeza: a estimativa supõe que a receita desses itens foi declarada no PGDAS-D sem segregação. Confira o que foi declarado em cada mês antes de retificar.</t>
        </is>
      </c>
    </row>
    <row r="105">
      <c r="A105" s="6" t="inlineStr">
        <is>
          <t>REC3</t>
        </is>
      </c>
      <c r="B105" s="6" t="inlineStr">
        <is>
          <t>A lista de NCM é inicial e precisa ser conferida na tabela oficial da Receita Federal; o NCM completo (subitem) define se o produto é monofásico.</t>
        </is>
      </c>
    </row>
    <row r="106">
      <c r="A106" s="6" t="inlineStr">
        <is>
          <t>REC3</t>
        </is>
      </c>
      <c r="B106" s="6" t="inlineStr">
        <is>
          <t>Valores recolhidos a maior podem ser compensados ou restituídos em até 5 anos (CTN, art. 168); o cálculo cobre apenas o período importado.</t>
        </is>
      </c>
    </row>
    <row r="107">
      <c r="A107" s="6" t="inlineStr">
        <is>
          <t>AV1</t>
        </is>
      </c>
      <c r="B107"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08">
      <c r="A108" s="6" t="inlineStr">
        <is>
          <t>AV2</t>
        </is>
      </c>
      <c r="B108"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2026-10-26T17:54:10Z</dcterms:created>
  <dcterms:modified xsi:type="dcterms:W3CDTF">2026-10-26T17:54:10Z</dcterms:modified>
</cp:coreProperties>
</file>